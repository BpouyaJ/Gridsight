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ath\to\GridSight\excel\"/>
    </mc:Choice>
  </mc:AlternateContent>
  <xr:revisionPtr revIDLastSave="0" documentId="13_ncr:1_{8B512132-F902-463F-B0B6-FA16B6283D2B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Dashboard" sheetId="1" r:id="rId1"/>
    <sheet name="MonthlyEnergy" sheetId="8" r:id="rId2"/>
    <sheet name="Setup" sheetId="2" r:id="rId3"/>
    <sheet name="Monthly Data" sheetId="3" r:id="rId4"/>
    <sheet name="Annual Summary" sheetId="4" r:id="rId5"/>
    <sheet name="Pivot Analysis" sheetId="5" r:id="rId6"/>
    <sheet name="Reconciliation" sheetId="6" r:id="rId7"/>
    <sheet name="Power Query" sheetId="7" r:id="rId8"/>
    <sheet name="Native Pivot" sheetId="10" r:id="rId9"/>
  </sheets>
  <definedNames>
    <definedName name="ExternalData_1" localSheetId="1" hidden="1">MonthlyEnergy!$A$1:$AC$49</definedName>
  </definedNames>
  <calcPr calcId="191029" calcMode="auto" fullCalcOnLoad="1" forceFullCalc="1"/>
  <pivotCaches>
    <pivotCache cacheId="1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6" l="1"/>
  <c r="E14" i="6" s="1"/>
  <c r="F14" i="6" s="1"/>
  <c r="D13" i="6"/>
  <c r="E13" i="6" s="1"/>
  <c r="F13" i="6" s="1"/>
  <c r="D12" i="6"/>
  <c r="E12" i="6" s="1"/>
  <c r="F12" i="6" s="1"/>
  <c r="D10" i="6"/>
  <c r="E10" i="6" s="1"/>
  <c r="F10" i="6" s="1"/>
  <c r="D9" i="6"/>
  <c r="E9" i="6" s="1"/>
  <c r="F9" i="6" s="1"/>
  <c r="D8" i="6"/>
  <c r="E8" i="6" s="1"/>
  <c r="F8" i="6" s="1"/>
  <c r="D7" i="6"/>
  <c r="E7" i="6" s="1"/>
  <c r="F7" i="6" s="1"/>
  <c r="D6" i="6"/>
  <c r="E6" i="6" s="1"/>
  <c r="F6" i="6" s="1"/>
  <c r="G10" i="5"/>
  <c r="K10" i="4"/>
  <c r="I10" i="4"/>
  <c r="G10" i="4"/>
  <c r="F10" i="4"/>
  <c r="E10" i="4"/>
  <c r="D10" i="4"/>
  <c r="C10" i="4"/>
  <c r="B10" i="4"/>
  <c r="K9" i="4"/>
  <c r="I9" i="4"/>
  <c r="G9" i="4"/>
  <c r="F9" i="4"/>
  <c r="E9" i="4"/>
  <c r="D9" i="4"/>
  <c r="C9" i="4"/>
  <c r="B9" i="4"/>
  <c r="H9" i="4" s="1"/>
  <c r="K8" i="4"/>
  <c r="I8" i="4"/>
  <c r="G8" i="4"/>
  <c r="F8" i="4"/>
  <c r="E8" i="4"/>
  <c r="D8" i="4"/>
  <c r="C8" i="4"/>
  <c r="B8" i="4"/>
  <c r="H8" i="4" s="1"/>
  <c r="K7" i="4"/>
  <c r="I7" i="4"/>
  <c r="G7" i="4"/>
  <c r="F7" i="4"/>
  <c r="E7" i="4"/>
  <c r="D7" i="4"/>
  <c r="C7" i="4"/>
  <c r="B7" i="4"/>
  <c r="H7" i="4" s="1"/>
  <c r="K6" i="4"/>
  <c r="I6" i="4"/>
  <c r="G6" i="4"/>
  <c r="F6" i="4"/>
  <c r="E6" i="4"/>
  <c r="D6" i="4"/>
  <c r="C6" i="4"/>
  <c r="B6" i="4"/>
  <c r="H6" i="4" s="1"/>
  <c r="AC49" i="3"/>
  <c r="AB49" i="3"/>
  <c r="AA49" i="3"/>
  <c r="Z49" i="3"/>
  <c r="Y49" i="3"/>
  <c r="X49" i="3"/>
  <c r="W49" i="3"/>
  <c r="V49" i="3"/>
  <c r="M10" i="5" s="1"/>
  <c r="U49" i="3"/>
  <c r="AC48" i="3"/>
  <c r="AB48" i="3"/>
  <c r="AA48" i="3"/>
  <c r="Z48" i="3"/>
  <c r="Y48" i="3"/>
  <c r="X48" i="3"/>
  <c r="W48" i="3"/>
  <c r="V48" i="3"/>
  <c r="L10" i="5" s="1"/>
  <c r="U48" i="3"/>
  <c r="AC47" i="3"/>
  <c r="AB47" i="3"/>
  <c r="AA47" i="3"/>
  <c r="Z47" i="3"/>
  <c r="Y47" i="3"/>
  <c r="X47" i="3"/>
  <c r="W47" i="3"/>
  <c r="V47" i="3"/>
  <c r="K10" i="5" s="1"/>
  <c r="U47" i="3"/>
  <c r="AC46" i="3"/>
  <c r="AB46" i="3"/>
  <c r="AA46" i="3"/>
  <c r="Z46" i="3"/>
  <c r="Y46" i="3"/>
  <c r="X46" i="3"/>
  <c r="W46" i="3"/>
  <c r="V46" i="3"/>
  <c r="J10" i="5" s="1"/>
  <c r="U46" i="3"/>
  <c r="AC45" i="3"/>
  <c r="AB45" i="3"/>
  <c r="AA45" i="3"/>
  <c r="Z45" i="3"/>
  <c r="Y45" i="3"/>
  <c r="X45" i="3"/>
  <c r="W45" i="3"/>
  <c r="V45" i="3"/>
  <c r="I10" i="5" s="1"/>
  <c r="U45" i="3"/>
  <c r="AC44" i="3"/>
  <c r="AB44" i="3"/>
  <c r="AA44" i="3"/>
  <c r="Z44" i="3"/>
  <c r="Y44" i="3"/>
  <c r="X44" i="3"/>
  <c r="W44" i="3"/>
  <c r="V44" i="3"/>
  <c r="H10" i="5" s="1"/>
  <c r="U44" i="3"/>
  <c r="AC43" i="3"/>
  <c r="AB43" i="3"/>
  <c r="AA43" i="3"/>
  <c r="Z43" i="3"/>
  <c r="Y43" i="3"/>
  <c r="X43" i="3"/>
  <c r="W43" i="3"/>
  <c r="V43" i="3"/>
  <c r="U43" i="3"/>
  <c r="AC42" i="3"/>
  <c r="AB42" i="3"/>
  <c r="AA42" i="3"/>
  <c r="Z42" i="3"/>
  <c r="Y42" i="3"/>
  <c r="X42" i="3"/>
  <c r="W42" i="3"/>
  <c r="V42" i="3"/>
  <c r="F10" i="5" s="1"/>
  <c r="U42" i="3"/>
  <c r="AC41" i="3"/>
  <c r="AB41" i="3"/>
  <c r="AA41" i="3"/>
  <c r="Z41" i="3"/>
  <c r="Y41" i="3"/>
  <c r="X41" i="3"/>
  <c r="W41" i="3"/>
  <c r="V41" i="3"/>
  <c r="E10" i="5" s="1"/>
  <c r="U41" i="3"/>
  <c r="AC40" i="3"/>
  <c r="AB40" i="3"/>
  <c r="AA40" i="3"/>
  <c r="Z40" i="3"/>
  <c r="Y40" i="3"/>
  <c r="X40" i="3"/>
  <c r="W40" i="3"/>
  <c r="V40" i="3"/>
  <c r="D10" i="5" s="1"/>
  <c r="U40" i="3"/>
  <c r="AC39" i="3"/>
  <c r="AB39" i="3"/>
  <c r="AA39" i="3"/>
  <c r="Z39" i="3"/>
  <c r="Y39" i="3"/>
  <c r="X39" i="3"/>
  <c r="W39" i="3"/>
  <c r="V39" i="3"/>
  <c r="C10" i="5" s="1"/>
  <c r="U39" i="3"/>
  <c r="AC38" i="3"/>
  <c r="AB38" i="3"/>
  <c r="AA38" i="3"/>
  <c r="Z38" i="3"/>
  <c r="Y38" i="3"/>
  <c r="X38" i="3"/>
  <c r="W38" i="3"/>
  <c r="V38" i="3"/>
  <c r="B10" i="5" s="1"/>
  <c r="U38" i="3"/>
  <c r="AC37" i="3"/>
  <c r="AB37" i="3"/>
  <c r="AA37" i="3"/>
  <c r="Z37" i="3"/>
  <c r="Y37" i="3"/>
  <c r="X37" i="3"/>
  <c r="W37" i="3"/>
  <c r="V37" i="3"/>
  <c r="M9" i="5" s="1"/>
  <c r="U37" i="3"/>
  <c r="AC36" i="3"/>
  <c r="AB36" i="3"/>
  <c r="AA36" i="3"/>
  <c r="Z36" i="3"/>
  <c r="Y36" i="3"/>
  <c r="X36" i="3"/>
  <c r="W36" i="3"/>
  <c r="V36" i="3"/>
  <c r="L9" i="5" s="1"/>
  <c r="U36" i="3"/>
  <c r="AC35" i="3"/>
  <c r="AB35" i="3"/>
  <c r="AA35" i="3"/>
  <c r="Z35" i="3"/>
  <c r="Y35" i="3"/>
  <c r="X35" i="3"/>
  <c r="W35" i="3"/>
  <c r="V35" i="3"/>
  <c r="K9" i="5" s="1"/>
  <c r="U35" i="3"/>
  <c r="AC34" i="3"/>
  <c r="AB34" i="3"/>
  <c r="AA34" i="3"/>
  <c r="Z34" i="3"/>
  <c r="Y34" i="3"/>
  <c r="X34" i="3"/>
  <c r="W34" i="3"/>
  <c r="V34" i="3"/>
  <c r="J9" i="5" s="1"/>
  <c r="U34" i="3"/>
  <c r="AC33" i="3"/>
  <c r="AB33" i="3"/>
  <c r="AA33" i="3"/>
  <c r="Z33" i="3"/>
  <c r="Y33" i="3"/>
  <c r="X33" i="3"/>
  <c r="W33" i="3"/>
  <c r="V33" i="3"/>
  <c r="I9" i="5" s="1"/>
  <c r="U33" i="3"/>
  <c r="AC32" i="3"/>
  <c r="AB32" i="3"/>
  <c r="AA32" i="3"/>
  <c r="Z32" i="3"/>
  <c r="Y32" i="3"/>
  <c r="X32" i="3"/>
  <c r="W32" i="3"/>
  <c r="V32" i="3"/>
  <c r="H9" i="5" s="1"/>
  <c r="U32" i="3"/>
  <c r="AC31" i="3"/>
  <c r="AB31" i="3"/>
  <c r="AA31" i="3"/>
  <c r="Z31" i="3"/>
  <c r="Y31" i="3"/>
  <c r="X31" i="3"/>
  <c r="W31" i="3"/>
  <c r="V31" i="3"/>
  <c r="G9" i="5" s="1"/>
  <c r="U31" i="3"/>
  <c r="AC30" i="3"/>
  <c r="AB30" i="3"/>
  <c r="AA30" i="3"/>
  <c r="Z30" i="3"/>
  <c r="Y30" i="3"/>
  <c r="X30" i="3"/>
  <c r="W30" i="3"/>
  <c r="V30" i="3"/>
  <c r="F9" i="5" s="1"/>
  <c r="U30" i="3"/>
  <c r="AC29" i="3"/>
  <c r="AB29" i="3"/>
  <c r="AA29" i="3"/>
  <c r="Z29" i="3"/>
  <c r="Y29" i="3"/>
  <c r="X29" i="3"/>
  <c r="W29" i="3"/>
  <c r="V29" i="3"/>
  <c r="E9" i="5" s="1"/>
  <c r="U29" i="3"/>
  <c r="AC28" i="3"/>
  <c r="AB28" i="3"/>
  <c r="AA28" i="3"/>
  <c r="Z28" i="3"/>
  <c r="Y28" i="3"/>
  <c r="X28" i="3"/>
  <c r="W28" i="3"/>
  <c r="V28" i="3"/>
  <c r="D9" i="5" s="1"/>
  <c r="U28" i="3"/>
  <c r="AC27" i="3"/>
  <c r="AB27" i="3"/>
  <c r="AA27" i="3"/>
  <c r="Z27" i="3"/>
  <c r="Y27" i="3"/>
  <c r="X27" i="3"/>
  <c r="W27" i="3"/>
  <c r="V27" i="3"/>
  <c r="C9" i="5" s="1"/>
  <c r="U27" i="3"/>
  <c r="AC26" i="3"/>
  <c r="AB26" i="3"/>
  <c r="AA26" i="3"/>
  <c r="Z26" i="3"/>
  <c r="Y26" i="3"/>
  <c r="X26" i="3"/>
  <c r="W26" i="3"/>
  <c r="V26" i="3"/>
  <c r="B9" i="5" s="1"/>
  <c r="U26" i="3"/>
  <c r="AC25" i="3"/>
  <c r="AB25" i="3"/>
  <c r="AA25" i="3"/>
  <c r="Z25" i="3"/>
  <c r="Y25" i="3"/>
  <c r="X25" i="3"/>
  <c r="W25" i="3"/>
  <c r="V25" i="3"/>
  <c r="M8" i="5" s="1"/>
  <c r="U25" i="3"/>
  <c r="AC24" i="3"/>
  <c r="AB24" i="3"/>
  <c r="AA24" i="3"/>
  <c r="Z24" i="3"/>
  <c r="Y24" i="3"/>
  <c r="X24" i="3"/>
  <c r="W24" i="3"/>
  <c r="V24" i="3"/>
  <c r="L8" i="5" s="1"/>
  <c r="U24" i="3"/>
  <c r="AC23" i="3"/>
  <c r="AB23" i="3"/>
  <c r="AA23" i="3"/>
  <c r="Z23" i="3"/>
  <c r="Y23" i="3"/>
  <c r="X23" i="3"/>
  <c r="W23" i="3"/>
  <c r="V23" i="3"/>
  <c r="K8" i="5" s="1"/>
  <c r="U23" i="3"/>
  <c r="AC22" i="3"/>
  <c r="AB22" i="3"/>
  <c r="AA22" i="3"/>
  <c r="Z22" i="3"/>
  <c r="Y22" i="3"/>
  <c r="X22" i="3"/>
  <c r="W22" i="3"/>
  <c r="V22" i="3"/>
  <c r="J8" i="5" s="1"/>
  <c r="U22" i="3"/>
  <c r="AC21" i="3"/>
  <c r="AB21" i="3"/>
  <c r="AA21" i="3"/>
  <c r="Z21" i="3"/>
  <c r="Y21" i="3"/>
  <c r="X21" i="3"/>
  <c r="W21" i="3"/>
  <c r="V21" i="3"/>
  <c r="I8" i="5" s="1"/>
  <c r="U21" i="3"/>
  <c r="AC20" i="3"/>
  <c r="AB20" i="3"/>
  <c r="AA20" i="3"/>
  <c r="Z20" i="3"/>
  <c r="Y20" i="3"/>
  <c r="X20" i="3"/>
  <c r="W20" i="3"/>
  <c r="V20" i="3"/>
  <c r="H8" i="5" s="1"/>
  <c r="U20" i="3"/>
  <c r="AC19" i="3"/>
  <c r="AB19" i="3"/>
  <c r="AA19" i="3"/>
  <c r="Z19" i="3"/>
  <c r="Y19" i="3"/>
  <c r="X19" i="3"/>
  <c r="W19" i="3"/>
  <c r="V19" i="3"/>
  <c r="G8" i="5" s="1"/>
  <c r="U19" i="3"/>
  <c r="AC18" i="3"/>
  <c r="AB18" i="3"/>
  <c r="AA18" i="3"/>
  <c r="Z18" i="3"/>
  <c r="Y18" i="3"/>
  <c r="X18" i="3"/>
  <c r="W18" i="3"/>
  <c r="V18" i="3"/>
  <c r="F8" i="5" s="1"/>
  <c r="U18" i="3"/>
  <c r="AC17" i="3"/>
  <c r="AB17" i="3"/>
  <c r="AA17" i="3"/>
  <c r="Z17" i="3"/>
  <c r="Y17" i="3"/>
  <c r="X17" i="3"/>
  <c r="W17" i="3"/>
  <c r="V17" i="3"/>
  <c r="E8" i="5" s="1"/>
  <c r="U17" i="3"/>
  <c r="AC16" i="3"/>
  <c r="AB16" i="3"/>
  <c r="AA16" i="3"/>
  <c r="Z16" i="3"/>
  <c r="Y16" i="3"/>
  <c r="X16" i="3"/>
  <c r="W16" i="3"/>
  <c r="V16" i="3"/>
  <c r="D8" i="5" s="1"/>
  <c r="U16" i="3"/>
  <c r="AC15" i="3"/>
  <c r="AB15" i="3"/>
  <c r="AA15" i="3"/>
  <c r="Z15" i="3"/>
  <c r="Y15" i="3"/>
  <c r="X15" i="3"/>
  <c r="W15" i="3"/>
  <c r="V15" i="3"/>
  <c r="C8" i="5" s="1"/>
  <c r="U15" i="3"/>
  <c r="AC14" i="3"/>
  <c r="AB14" i="3"/>
  <c r="AA14" i="3"/>
  <c r="Z14" i="3"/>
  <c r="Y14" i="3"/>
  <c r="X14" i="3"/>
  <c r="W14" i="3"/>
  <c r="V14" i="3"/>
  <c r="B8" i="5" s="1"/>
  <c r="U14" i="3"/>
  <c r="AC13" i="3"/>
  <c r="AB13" i="3"/>
  <c r="AA13" i="3"/>
  <c r="Z13" i="3"/>
  <c r="Y13" i="3"/>
  <c r="X13" i="3"/>
  <c r="W13" i="3"/>
  <c r="V13" i="3"/>
  <c r="M7" i="5" s="1"/>
  <c r="U13" i="3"/>
  <c r="AC12" i="3"/>
  <c r="AB12" i="3"/>
  <c r="AA12" i="3"/>
  <c r="Z12" i="3"/>
  <c r="Y12" i="3"/>
  <c r="X12" i="3"/>
  <c r="W12" i="3"/>
  <c r="V12" i="3"/>
  <c r="L7" i="5" s="1"/>
  <c r="U12" i="3"/>
  <c r="AC11" i="3"/>
  <c r="AB11" i="3"/>
  <c r="AA11" i="3"/>
  <c r="Z11" i="3"/>
  <c r="Y11" i="3"/>
  <c r="X11" i="3"/>
  <c r="W11" i="3"/>
  <c r="V11" i="3"/>
  <c r="K7" i="5" s="1"/>
  <c r="U11" i="3"/>
  <c r="AC10" i="3"/>
  <c r="AB10" i="3"/>
  <c r="AA10" i="3"/>
  <c r="Z10" i="3"/>
  <c r="Y10" i="3"/>
  <c r="X10" i="3"/>
  <c r="W10" i="3"/>
  <c r="V10" i="3"/>
  <c r="J7" i="5" s="1"/>
  <c r="U10" i="3"/>
  <c r="AC9" i="3"/>
  <c r="AB9" i="3"/>
  <c r="AA9" i="3"/>
  <c r="Z9" i="3"/>
  <c r="Y9" i="3"/>
  <c r="X9" i="3"/>
  <c r="W9" i="3"/>
  <c r="V9" i="3"/>
  <c r="I7" i="5" s="1"/>
  <c r="U9" i="3"/>
  <c r="AC8" i="3"/>
  <c r="AB8" i="3"/>
  <c r="AA8" i="3"/>
  <c r="Z8" i="3"/>
  <c r="Y8" i="3"/>
  <c r="X8" i="3"/>
  <c r="W8" i="3"/>
  <c r="V8" i="3"/>
  <c r="H7" i="5" s="1"/>
  <c r="U8" i="3"/>
  <c r="AC7" i="3"/>
  <c r="AB7" i="3"/>
  <c r="AA7" i="3"/>
  <c r="Z7" i="3"/>
  <c r="Y7" i="3"/>
  <c r="X7" i="3"/>
  <c r="W7" i="3"/>
  <c r="V7" i="3"/>
  <c r="G7" i="5" s="1"/>
  <c r="U7" i="3"/>
  <c r="AC6" i="3"/>
  <c r="AB6" i="3"/>
  <c r="AA6" i="3"/>
  <c r="Z6" i="3"/>
  <c r="Y6" i="3"/>
  <c r="X6" i="3"/>
  <c r="W6" i="3"/>
  <c r="V6" i="3"/>
  <c r="F7" i="5" s="1"/>
  <c r="U6" i="3"/>
  <c r="AC5" i="3"/>
  <c r="AB5" i="3"/>
  <c r="AA5" i="3"/>
  <c r="Z5" i="3"/>
  <c r="Y5" i="3"/>
  <c r="X5" i="3"/>
  <c r="W5" i="3"/>
  <c r="V5" i="3"/>
  <c r="E7" i="5" s="1"/>
  <c r="U5" i="3"/>
  <c r="AC4" i="3"/>
  <c r="AB4" i="3"/>
  <c r="AA4" i="3"/>
  <c r="Z4" i="3"/>
  <c r="Y4" i="3"/>
  <c r="X4" i="3"/>
  <c r="W4" i="3"/>
  <c r="V4" i="3"/>
  <c r="D7" i="5" s="1"/>
  <c r="U4" i="3"/>
  <c r="AC3" i="3"/>
  <c r="AB3" i="3"/>
  <c r="AA3" i="3"/>
  <c r="Z3" i="3"/>
  <c r="Y3" i="3"/>
  <c r="X3" i="3"/>
  <c r="W3" i="3"/>
  <c r="V3" i="3"/>
  <c r="C7" i="5" s="1"/>
  <c r="U3" i="3"/>
  <c r="AC2" i="3"/>
  <c r="D11" i="6" s="1"/>
  <c r="E11" i="6" s="1"/>
  <c r="F11" i="6" s="1"/>
  <c r="AB2" i="3"/>
  <c r="AA2" i="3"/>
  <c r="Z2" i="3"/>
  <c r="Y2" i="3"/>
  <c r="X2" i="3"/>
  <c r="W2" i="3"/>
  <c r="V2" i="3"/>
  <c r="B7" i="5" s="1"/>
  <c r="U2" i="3"/>
  <c r="M11" i="1"/>
  <c r="I11" i="1"/>
  <c r="E11" i="1"/>
  <c r="A11" i="1"/>
  <c r="I6" i="1"/>
  <c r="E6" i="1"/>
  <c r="A6" i="1"/>
  <c r="J6" i="4" l="1"/>
  <c r="J11" i="5"/>
  <c r="G11" i="5"/>
  <c r="H11" i="5"/>
  <c r="J8" i="4"/>
  <c r="F11" i="5"/>
  <c r="J9" i="4"/>
  <c r="J7" i="4"/>
  <c r="J10" i="4"/>
  <c r="N9" i="5"/>
  <c r="M11" i="5"/>
  <c r="K11" i="5"/>
  <c r="I11" i="5"/>
  <c r="N10" i="5"/>
  <c r="N8" i="5"/>
  <c r="B11" i="5"/>
  <c r="N7" i="5"/>
  <c r="C11" i="5"/>
  <c r="E11" i="5"/>
  <c r="L11" i="5"/>
  <c r="D11" i="5"/>
  <c r="M6" i="1"/>
  <c r="H10" i="4"/>
  <c r="N1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B0AEF6-2C5C-416D-9F1F-955864A8C757}" keepAlive="1" name="Query - MonthlyEnergy" description="Connection to the 'MonthlyEnergy' query in the workbook." type="5" refreshedVersion="8" background="1" saveData="1">
    <dbPr connection="Provider=Microsoft.Mashup.OleDb.1;Data Source=$Workbook$;Location=MonthlyEnergy;Extended Properties=&quot;&quot;" command="SELECT * FROM [MonthlyEnergy]"/>
  </connection>
</connections>
</file>

<file path=xl/sharedStrings.xml><?xml version="1.0" encoding="utf-8"?>
<sst xmlns="http://schemas.openxmlformats.org/spreadsheetml/2006/main" count="651" uniqueCount="281">
  <si>
    <t>GridSight | Monthly Energy Analyst Pack</t>
  </si>
  <si>
    <t>Germany / DE-LU | 2022-2025 | Checked monthly reporting product | Europe/Berlin calendar</t>
  </si>
  <si>
    <t>Total grid load</t>
  </si>
  <si>
    <t>Average grid load</t>
  </si>
  <si>
    <t>Renewable share of reported generation</t>
  </si>
  <si>
    <t>Average day-ahead price</t>
  </si>
  <si>
    <t>Peak grid load</t>
  </si>
  <si>
    <t>Negative-price hours</t>
  </si>
  <si>
    <t>Negative-price share</t>
  </si>
  <si>
    <t>Unavailable generation values</t>
  </si>
  <si>
    <t>Interpretation notes</t>
  </si>
  <si>
    <t>• Renewable share rose from 46.66% in 2022 to 58.86% in 2025.</t>
  </si>
  <si>
    <t>• The all-period average day-ahead price was 124.58 EUR/MWh; 2022 was unusually high at 235.45 EUR/MWh.</t>
  </si>
  <si>
    <t>• Negative-price hours increased from 69 in 2022 to 573 in 2025; this is descriptive, not a causal estimate.</t>
  </si>
  <si>
    <t>• Nuclear source markers remain unavailable rather than being converted to measured zero.</t>
  </si>
  <si>
    <t>Source: Bundesnetzagentur | SMARD.de  •  Fixed portfolio extract; not a production feed  •  See Reconciliation for exact checks</t>
  </si>
  <si>
    <t>GridSight | Workbook setup</t>
  </si>
  <si>
    <t>Set the repository path once, then use Data &gt; Refresh All for the embedded query and PivotTable.</t>
  </si>
  <si>
    <t>Refresh parameters</t>
  </si>
  <si>
    <t>Parameter</t>
  </si>
  <si>
    <t>Value</t>
  </si>
  <si>
    <t>ProjectRoot</t>
  </si>
  <si>
    <t>SampleRelativePath</t>
  </si>
  <si>
    <t>data\samples\monthly_energy_sample.csv</t>
  </si>
  <si>
    <t>Activation steps</t>
  </si>
  <si>
    <t>1</t>
  </si>
  <si>
    <t>Replace ProjectRoot above with this repository's local root.</t>
  </si>
  <si>
    <t>2</t>
  </si>
  <si>
    <t>Use Data &gt; Refresh All to refresh the embedded MonthlyEnergy query.</t>
  </si>
  <si>
    <t>3</t>
  </si>
  <si>
    <t>Confirm MonthlyEnergy contains 48 rows covering 2022-2025.</t>
  </si>
  <si>
    <t>4</t>
  </si>
  <si>
    <t>Confirm Native Pivot grand total remains 1,872.00 TWh.</t>
  </si>
  <si>
    <t>5</t>
  </si>
  <si>
    <t>Review Reconciliation and confirm every status remains PASS.</t>
  </si>
  <si>
    <t>Auditable source contract</t>
  </si>
  <si>
    <t>Input</t>
  </si>
  <si>
    <t>data/samples/monthly_energy_sample.csv</t>
  </si>
  <si>
    <t>Grain</t>
  </si>
  <si>
    <t>One Europe/Berlin month</t>
  </si>
  <si>
    <t>Scope</t>
  </si>
  <si>
    <t>48 complete months, 2022-2025</t>
  </si>
  <si>
    <t>Sample SHA-256</t>
  </si>
  <si>
    <t>86a17351935e5cf9bebec2b1bad8b6da00359363df09e8f65c73fd0422c78676</t>
  </si>
  <si>
    <t>Attribution</t>
  </si>
  <si>
    <t>Bundesnetzagentur | SMARD.de</t>
  </si>
  <si>
    <t>month_key</t>
  </si>
  <si>
    <t>month_start</t>
  </si>
  <si>
    <t>calendar_year</t>
  </si>
  <si>
    <t>month_number</t>
  </si>
  <si>
    <t>month_name</t>
  </si>
  <si>
    <t>observed_day_count</t>
  </si>
  <si>
    <t>observed_hour_count</t>
  </si>
  <si>
    <t>grid_load_mwh</t>
  </si>
  <si>
    <t>average_grid_load_mw</t>
  </si>
  <si>
    <t>peak_grid_load_mw</t>
  </si>
  <si>
    <t>reported_generation_mwh</t>
  </si>
  <si>
    <t>renewable_generation_mwh</t>
  </si>
  <si>
    <t>conventional_generation_mwh</t>
  </si>
  <si>
    <t>storage_generation_mwh</t>
  </si>
  <si>
    <t>renewable_share_of_reported_generation_percent</t>
  </si>
  <si>
    <t>average_day_ahead_price_eur_per_mwh</t>
  </si>
  <si>
    <t>minimum_day_ahead_price_eur_per_mwh</t>
  </si>
  <si>
    <t>maximum_day_ahead_price_eur_per_mwh</t>
  </si>
  <si>
    <t>negative_price_hour_count</t>
  </si>
  <si>
    <t>unavailable_generation_value_count</t>
  </si>
  <si>
    <t>year_month</t>
  </si>
  <si>
    <t>grid_load_twh</t>
  </si>
  <si>
    <t>average_grid_load_gw</t>
  </si>
  <si>
    <t>peak_grid_load_gw</t>
  </si>
  <si>
    <t>renewable_generation_twh</t>
  </si>
  <si>
    <t>conventional_generation_twh</t>
  </si>
  <si>
    <t>storage_generation_twh</t>
  </si>
  <si>
    <t>negative_price_hour_share</t>
  </si>
  <si>
    <t>price_hour_weighted_sum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</si>
  <si>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</si>
  <si>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</si>
  <si>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</si>
  <si>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</si>
  <si>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</si>
  <si>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</si>
  <si>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</si>
  <si>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</si>
  <si>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</si>
  <si>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</si>
  <si>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</si>
  <si>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</si>
  <si>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GridSight | Annual energy summary</t>
  </si>
  <si>
    <t>Formula-backed rollup of the checked monthly reporting product; energy is summed and price is hour-weighted.</t>
  </si>
  <si>
    <t>Year</t>
  </si>
  <si>
    <t>Observed hours</t>
  </si>
  <si>
    <t>Grid load (TWh)</t>
  </si>
  <si>
    <t>Avg load (GW)</t>
  </si>
  <si>
    <t>Reported gen. (TWh)</t>
  </si>
  <si>
    <t>Renewable gen. (TWh)</t>
  </si>
  <si>
    <t>Renewable share</t>
  </si>
  <si>
    <t>Avg price (EUR/MWh)</t>
  </si>
  <si>
    <t>Negative hours</t>
  </si>
  <si>
    <t>Negative share</t>
  </si>
  <si>
    <t>Unavailable values</t>
  </si>
  <si>
    <t>All</t>
  </si>
  <si>
    <t>GridSight | Pivot analysis</t>
  </si>
  <si>
    <t>Monthly grid-load energy by year and month (TWh), summarized in a transparent formula-backed cross-tab.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</si>
  <si>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</si>
  <si>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</si>
  <si>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</si>
  <si>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</si>
  <si>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</si>
  <si>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</si>
  <si>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</si>
  <si>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</si>
  <si>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</si>
  <si>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</si>
  <si>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</si>
  <si>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</si>
  <si>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GridSight | KPI reconciliation</t>
  </si>
  <si>
    <t>Every workbook KPI must agree with the frozen Power BI and SQL reporting contract within its declared tolerance.</t>
  </si>
  <si>
    <t>Metric</t>
  </si>
  <si>
    <t>Expected</t>
  </si>
  <si>
    <t>Tolerance</t>
  </si>
  <si>
    <t>Workbook</t>
  </si>
  <si>
    <t>Variance</t>
  </si>
  <si>
    <t>Status</t>
  </si>
  <si>
    <t>Observed Hours</t>
  </si>
  <si>
    <t>Total Grid Load TWh</t>
  </si>
  <si>
    <t>Average Grid Load GW</t>
  </si>
  <si>
    <t>Peak Grid Load GW</t>
  </si>
  <si>
    <t>Renewable Share</t>
  </si>
  <si>
    <t>Average Day-Ahead Price</t>
  </si>
  <si>
    <t>Negative Price Hours</t>
  </si>
  <si>
    <t>Negative Price Share</t>
  </si>
  <si>
    <t>Unavailable Generation Values</t>
  </si>
  <si>
    <t>GridSight | Power Query M</t>
  </si>
  <si>
    <t>Versioned copy of the embedded MonthlyEnergy query; edit the checked M file and refresh the workbook when the contract changes.</t>
  </si>
  <si>
    <t>The query preserves the 20 reporting columns, applies explicit types, and adds presentation-only fields. It does not recompute upstream business rules.</t>
  </si>
  <si>
    <t>001  let</t>
  </si>
  <si>
    <t>002      Parameters = Excel.CurrentWorkbook(){[Name = "GridSightParameters"]}[Content],</t>
  </si>
  <si>
    <t>003      ProjectRoot = Text.Trim(Parameters{[Parameter = "ProjectRoot"]}[Value]),</t>
  </si>
  <si>
    <t>004      RelativePath = Text.Trim(Parameters{[Parameter = "SampleRelativePath"]}[Value]),</t>
  </si>
  <si>
    <t>005      SourcePath = ProjectRoot &amp; "\\" &amp; Text.Replace(RelativePath, "/", "\\"),</t>
  </si>
  <si>
    <t>006      Source = Csv.Document(</t>
  </si>
  <si>
    <t>007          File.Contents(SourcePath),</t>
  </si>
  <si>
    <t>008          [Delimiter = ",", Columns = 20, Encoding = 65001, QuoteStyle = QuoteStyle.Csv]</t>
  </si>
  <si>
    <t>009      ),</t>
  </si>
  <si>
    <t>010      PromotedHeaders = Table.PromoteHeaders(Source, [PromoteAllScalars = true]),</t>
  </si>
  <si>
    <t>011      TypedColumns = Table.TransformColumnTypes(</t>
  </si>
  <si>
    <t>012          PromotedHeaders,</t>
  </si>
  <si>
    <t>013          {</t>
  </si>
  <si>
    <t>014              {"month_key", Int64.Type},</t>
  </si>
  <si>
    <t>015              {"month_start", type date},</t>
  </si>
  <si>
    <t>016              {"calendar_year", Int64.Type},</t>
  </si>
  <si>
    <t>017              {"month_number", Int64.Type},</t>
  </si>
  <si>
    <t>018              {"month_name", type text},</t>
  </si>
  <si>
    <t>019              {"observed_day_count", Int64.Type},</t>
  </si>
  <si>
    <t>020              {"observed_hour_count", Int64.Type},</t>
  </si>
  <si>
    <t>021              {"grid_load_mwh", type number},</t>
  </si>
  <si>
    <t>022              {"average_grid_load_mw", type number},</t>
  </si>
  <si>
    <t>023              {"peak_grid_load_mw", type number},</t>
  </si>
  <si>
    <t>024              {"reported_generation_mwh", type number},</t>
  </si>
  <si>
    <t>025              {"renewable_generation_mwh", type number},</t>
  </si>
  <si>
    <t>026              {"conventional_generation_mwh", type number},</t>
  </si>
  <si>
    <t>027              {"storage_generation_mwh", type number},</t>
  </si>
  <si>
    <t>028              {"renewable_share_of_reported_generation_percent", type number},</t>
  </si>
  <si>
    <t>029              {"average_day_ahead_price_eur_per_mwh", type number},</t>
  </si>
  <si>
    <t>030              {"minimum_day_ahead_price_eur_per_mwh", type number},</t>
  </si>
  <si>
    <t>031              {"maximum_day_ahead_price_eur_per_mwh", type number},</t>
  </si>
  <si>
    <t>032              {"negative_price_hour_count", Int64.Type},</t>
  </si>
  <si>
    <t>033              {"unavailable_generation_value_count", Int64.Type}</t>
  </si>
  <si>
    <t>034          },</t>
  </si>
  <si>
    <t>035          "en-US"</t>
  </si>
  <si>
    <t>036      ),</t>
  </si>
  <si>
    <t>037      AddedYearMonth = Table.AddColumn(</t>
  </si>
  <si>
    <t>038          TypedColumns,</t>
  </si>
  <si>
    <t>039          "year_month",</t>
  </si>
  <si>
    <t>040          each Date.ToText([month_start], "yyyy-MM", "en-US"),</t>
  </si>
  <si>
    <t>041          type text</t>
  </si>
  <si>
    <t>042      ),</t>
  </si>
  <si>
    <t>043      AddedGridLoadTWh = Table.AddColumn(</t>
  </si>
  <si>
    <t>044          AddedYearMonth,</t>
  </si>
  <si>
    <t>045          "grid_load_twh",</t>
  </si>
  <si>
    <t>046          each [grid_load_mwh] / 1000000,</t>
  </si>
  <si>
    <t>047          type number</t>
  </si>
  <si>
    <t>048      ),</t>
  </si>
  <si>
    <t>049      AddedAverageLoadGW = Table.AddColumn(</t>
  </si>
  <si>
    <t>050          AddedGridLoadTWh,</t>
  </si>
  <si>
    <t>051          "average_grid_load_gw",</t>
  </si>
  <si>
    <t>052          each [average_grid_load_mw] / 1000,</t>
  </si>
  <si>
    <t>053          type number</t>
  </si>
  <si>
    <t>054      ),</t>
  </si>
  <si>
    <t>055      AddedPeakLoadGW = Table.AddColumn(</t>
  </si>
  <si>
    <t>056          AddedAverageLoadGW,</t>
  </si>
  <si>
    <t>057          "peak_grid_load_gw",</t>
  </si>
  <si>
    <t>058          each [peak_grid_load_mw] / 1000,</t>
  </si>
  <si>
    <t>059          type number</t>
  </si>
  <si>
    <t>060      ),</t>
  </si>
  <si>
    <t>061      AddedRenewableTWh = Table.AddColumn(</t>
  </si>
  <si>
    <t>062          AddedPeakLoadGW,</t>
  </si>
  <si>
    <t>063          "renewable_generation_twh",</t>
  </si>
  <si>
    <t>064          each [renewable_generation_mwh] / 1000000,</t>
  </si>
  <si>
    <t>065          type number</t>
  </si>
  <si>
    <t>066      ),</t>
  </si>
  <si>
    <t>067      AddedConventionalTWh = Table.AddColumn(</t>
  </si>
  <si>
    <t>068          AddedRenewableTWh,</t>
  </si>
  <si>
    <t>069          "conventional_generation_twh",</t>
  </si>
  <si>
    <t>070          each [conventional_generation_mwh] / 1000000,</t>
  </si>
  <si>
    <t>071          type number</t>
  </si>
  <si>
    <t>072      ),</t>
  </si>
  <si>
    <t>073      AddedStorageTWh = Table.AddColumn(</t>
  </si>
  <si>
    <t>074          AddedConventionalTWh,</t>
  </si>
  <si>
    <t>075          "storage_generation_twh",</t>
  </si>
  <si>
    <t>076          each [storage_generation_mwh] / 1000000,</t>
  </si>
  <si>
    <t>077          type number</t>
  </si>
  <si>
    <t>078      ),</t>
  </si>
  <si>
    <t>079      AddedNegativePriceShare = Table.AddColumn(</t>
  </si>
  <si>
    <t>080          AddedStorageTWh,</t>
  </si>
  <si>
    <t>081          "negative_price_hour_share",</t>
  </si>
  <si>
    <t>082          each [negative_price_hour_count] / [observed_hour_count],</t>
  </si>
  <si>
    <t>083          Percentage.Type</t>
  </si>
  <si>
    <t>084      ),</t>
  </si>
  <si>
    <t>085      AddedWeightedPrice = Table.AddColumn(</t>
  </si>
  <si>
    <t>086          AddedNegativePriceShare,</t>
  </si>
  <si>
    <t>087          "price_hour_weighted_sum",</t>
  </si>
  <si>
    <t>088          each [average_day_ahead_price_eur_per_mwh] * [observed_hour_count],</t>
  </si>
  <si>
    <t>089          type number</t>
  </si>
  <si>
    <t>090      )</t>
  </si>
  <si>
    <t>091  in</t>
  </si>
  <si>
    <t>092      AddedWeightedPrice</t>
  </si>
  <si>
    <t>093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</si>
  <si>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</si>
  <si>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</si>
  <si>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</si>
  <si>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</si>
  <si>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</si>
  <si>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</si>
  <si>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</si>
  <si>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</si>
  <si>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</si>
  <si>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</si>
  <si>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</si>
  <si>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</si>
  <si>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</si>
  <si>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</si>
  <si>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</si>
  <si>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</si>
  <si>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</si>
  <si>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</si>
  <si>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</si>
  <si>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</si>
  <si>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</si>
  <si>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</si>
  <si>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</si>
  <si>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</si>
  <si>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</si>
  <si>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</si>
  <si>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</si>
  <si>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</si>
  <si>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</si>
  <si>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</si>
  <si>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</si>
  <si>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</si>
  <si>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</si>
  <si>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</si>
  <si>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</si>
  <si>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</si>
  <si>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</si>
  <si>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</si>
  <si>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</si>
  <si>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</si>
  <si>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</si>
  <si>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</si>
  <si>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</si>
  <si>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</si>
  <si>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</si>
  <si>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</si>
  <si>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</si>
  <si>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</si>
  <si>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</si>
  <si>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</si>
  <si>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Column Labels</t>
  </si>
  <si>
    <t>Sum of grid_load_twh</t>
  </si>
  <si>
    <t>C:\path\to\GridSight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</si>
</sst>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0&quot;%&quot;"/>
    <numFmt numFmtId="166" formatCode="#,##0.00\ &quot;EUR/MWh&quot;"/>
    <numFmt numFmtId="167" formatCode="0.000"/>
    <numFmt numFmtId="168" formatCode="0.0000%"/>
    <numFmt numFmtId="169" formatCode="0.000\ &quot;TWh&quot;"/>
    <numFmt numFmtId="170" formatCode="0.000\ &quot;GW&quot;"/>
    <numFmt numFmtId="171" formatCode="0.00\ &quot;EUR/MWh&quot;"/>
  </numFmts>
  <fonts count="21">
    <font>
      <sz val="11"/>
      <name val="Carlito"/>
    </font>
    <font>
      <b/>
      <sz val="20"/>
      <color rgb="FFFFFFFF"/>
      <name val="Aptos Display"/>
    </font>
    <font>
      <sz val="10"/>
      <color rgb="FF5F6B76"/>
      <name val="Aptos"/>
    </font>
    <font>
      <b/>
      <sz val="11"/>
      <color rgb="FFFFFFFF"/>
      <name val="Aptos"/>
    </font>
    <font>
      <b/>
      <sz val="11"/>
      <color rgb="FFFFFFFF"/>
      <name val="Carlito"/>
    </font>
    <font>
      <sz val="10"/>
      <color rgb="FF1D2733"/>
      <name val="Carlito"/>
    </font>
    <font>
      <b/>
      <sz val="11"/>
      <color rgb="FF1D2733"/>
      <name val="Carlito"/>
    </font>
    <font>
      <b/>
      <sz val="20"/>
      <color rgb="FFFFFFFF"/>
      <name val="Aptos"/>
    </font>
    <font>
      <sz val="11"/>
      <name val="Aptos"/>
    </font>
    <font>
      <sz val="10"/>
      <color rgb="FF1D2733"/>
      <name val="Aptos"/>
    </font>
    <font>
      <b/>
      <sz val="11"/>
      <color rgb="FF1D2733"/>
      <name val="Aptos"/>
    </font>
    <font>
      <sz val="11"/>
      <color rgb="FF5F6B76"/>
      <name val="Aptos"/>
    </font>
    <font>
      <b/>
      <sz val="9"/>
      <color rgb="FFFFFFFF"/>
      <name val="Aptos"/>
    </font>
    <font>
      <sz val="9"/>
      <color rgb="FF1D2733"/>
      <name val="Aptos"/>
    </font>
    <font>
      <b/>
      <sz val="9"/>
      <color rgb="FFFFFFFF"/>
      <name val="Carlito"/>
    </font>
    <font>
      <sz val="11"/>
      <color rgb="FF1D2733"/>
      <name val="Carlito"/>
    </font>
    <font>
      <sz val="1"/>
      <color rgb="FFF5F7F9"/>
      <name val="Carlito"/>
    </font>
    <font>
      <sz val="9"/>
      <color rgb="FF5F6B76"/>
      <name val="Aptos"/>
    </font>
    <font>
      <b/>
      <sz val="17"/>
      <color rgb="FF1D2733"/>
      <name val="Aptos"/>
    </font>
    <font>
      <i/>
      <sz val="9"/>
      <color rgb="FF5F6B76"/>
      <name val="Aptos"/>
    </font>
    <font>
      <sz val="9"/>
      <color rgb="FF1D2733"/>
      <name val="Cascadia Mono"/>
    </font>
  </fonts>
  <fills count="12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AF3FB"/>
      </patternFill>
    </fill>
    <fill>
      <patternFill patternType="solid">
        <fgColor rgb="FF00A6A6"/>
      </patternFill>
    </fill>
    <fill>
      <patternFill patternType="solid">
        <fgColor rgb="FFFFFFFF"/>
      </patternFill>
    </fill>
    <fill>
      <patternFill patternType="solid">
        <fgColor rgb="FFE7F7F7"/>
      </patternFill>
    </fill>
    <fill>
      <patternFill patternType="solid">
        <fgColor rgb="FFEAF5EE"/>
      </patternFill>
    </fill>
    <fill>
      <patternFill patternType="solid">
        <fgColor rgb="FFFFF5D9"/>
      </patternFill>
    </fill>
    <fill>
      <patternFill patternType="solid">
        <fgColor rgb="FFFDECEC"/>
      </patternFill>
    </fill>
    <fill>
      <patternFill patternType="solid">
        <fgColor rgb="FFF5F7F9"/>
      </patternFill>
    </fill>
    <fill>
      <patternFill patternType="solid">
        <fgColor rgb="FFF8FAFC"/>
      </patternFill>
    </fill>
  </fills>
  <borders count="19">
    <border>
      <left/>
      <right/>
      <top/>
      <bottom/>
      <diagonal/>
    </border>
    <border>
      <left/>
      <right/>
      <top/>
      <bottom style="thin">
        <color rgb="FFEEF2F5"/>
      </bottom>
      <diagonal/>
    </border>
    <border>
      <left/>
      <right/>
      <top style="thin">
        <color rgb="FFEEF2F5"/>
      </top>
      <bottom style="thin">
        <color rgb="FFEEF2F5"/>
      </bottom>
      <diagonal/>
    </border>
    <border>
      <left/>
      <right/>
      <top style="thin">
        <color rgb="FFEEF2F5"/>
      </top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 style="thin">
        <color rgb="FFEEF2F5"/>
      </right>
      <top/>
      <bottom style="thin">
        <color rgb="FFD9E1E8"/>
      </bottom>
      <diagonal/>
    </border>
    <border>
      <left style="thin">
        <color rgb="FFEEF2F5"/>
      </left>
      <right style="thin">
        <color rgb="FFEEF2F5"/>
      </right>
      <top/>
      <bottom style="thin">
        <color rgb="FFD9E1E8"/>
      </bottom>
      <diagonal/>
    </border>
    <border>
      <left style="thin">
        <color rgb="FFEEF2F5"/>
      </left>
      <right/>
      <top/>
      <bottom style="thin">
        <color rgb="FFD9E1E8"/>
      </bottom>
      <diagonal/>
    </border>
    <border>
      <left/>
      <right style="thin">
        <color rgb="FFEEF2F5"/>
      </right>
      <top style="thin">
        <color rgb="FFD9E1E8"/>
      </top>
      <bottom style="thin">
        <color rgb="FFD9E1E8"/>
      </bottom>
      <diagonal/>
    </border>
    <border>
      <left style="thin">
        <color rgb="FFEEF2F5"/>
      </left>
      <right style="thin">
        <color rgb="FFEEF2F5"/>
      </right>
      <top style="thin">
        <color rgb="FFD9E1E8"/>
      </top>
      <bottom style="thin">
        <color rgb="FFD9E1E8"/>
      </bottom>
      <diagonal/>
    </border>
    <border>
      <left style="thin">
        <color rgb="FFEEF2F5"/>
      </left>
      <right/>
      <top style="thin">
        <color rgb="FFD9E1E8"/>
      </top>
      <bottom style="thin">
        <color rgb="FFD9E1E8"/>
      </bottom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/>
      <diagonal/>
    </border>
    <border>
      <left/>
      <right style="thin">
        <color rgb="FFD9E1E8"/>
      </right>
      <top/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 style="thin">
        <color rgb="FFD9E1E8"/>
      </right>
      <top/>
      <bottom style="thin">
        <color rgb="FFD9E1E8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8" fillId="0" borderId="0" xfId="0" applyFont="1"/>
    <xf numFmtId="0" fontId="9" fillId="5" borderId="0" xfId="0" applyFont="1" applyFill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2" borderId="1" xfId="0" applyFont="1" applyFill="1" applyBorder="1" applyAlignment="1">
      <alignment vertical="center" wrapText="1"/>
    </xf>
    <xf numFmtId="0" fontId="13" fillId="0" borderId="2" xfId="0" applyFont="1" applyBorder="1"/>
    <xf numFmtId="164" fontId="13" fillId="0" borderId="2" xfId="0" applyNumberFormat="1" applyFont="1" applyBorder="1"/>
    <xf numFmtId="4" fontId="13" fillId="0" borderId="2" xfId="0" applyNumberFormat="1" applyFont="1" applyBorder="1"/>
    <xf numFmtId="165" fontId="13" fillId="0" borderId="2" xfId="0" applyNumberFormat="1" applyFont="1" applyBorder="1"/>
    <xf numFmtId="166" fontId="13" fillId="0" borderId="2" xfId="0" applyNumberFormat="1" applyFont="1" applyBorder="1"/>
    <xf numFmtId="2" fontId="13" fillId="0" borderId="2" xfId="0" applyNumberFormat="1" applyFont="1" applyBorder="1"/>
    <xf numFmtId="10" fontId="13" fillId="0" borderId="2" xfId="0" applyNumberFormat="1" applyFont="1" applyBorder="1"/>
    <xf numFmtId="0" fontId="13" fillId="0" borderId="3" xfId="0" applyFont="1" applyBorder="1"/>
    <xf numFmtId="164" fontId="13" fillId="0" borderId="3" xfId="0" applyNumberFormat="1" applyFont="1" applyBorder="1"/>
    <xf numFmtId="4" fontId="13" fillId="0" borderId="3" xfId="0" applyNumberFormat="1" applyFont="1" applyBorder="1"/>
    <xf numFmtId="165" fontId="13" fillId="0" borderId="3" xfId="0" applyNumberFormat="1" applyFont="1" applyBorder="1"/>
    <xf numFmtId="166" fontId="13" fillId="0" borderId="3" xfId="0" applyNumberFormat="1" applyFont="1" applyBorder="1"/>
    <xf numFmtId="2" fontId="13" fillId="0" borderId="3" xfId="0" applyNumberFormat="1" applyFont="1" applyBorder="1"/>
    <xf numFmtId="10" fontId="13" fillId="0" borderId="3" xfId="0" applyNumberFormat="1" applyFont="1" applyBorder="1"/>
    <xf numFmtId="0" fontId="14" fillId="2" borderId="4" xfId="0" applyFont="1" applyFill="1" applyBorder="1" applyAlignment="1">
      <alignment wrapText="1"/>
    </xf>
    <xf numFmtId="0" fontId="5" fillId="5" borderId="5" xfId="0" applyFont="1" applyFill="1" applyBorder="1"/>
    <xf numFmtId="0" fontId="6" fillId="6" borderId="5" xfId="0" applyFont="1" applyFill="1" applyBorder="1"/>
    <xf numFmtId="3" fontId="5" fillId="5" borderId="5" xfId="0" applyNumberFormat="1" applyFont="1" applyFill="1" applyBorder="1"/>
    <xf numFmtId="3" fontId="6" fillId="6" borderId="5" xfId="0" applyNumberFormat="1" applyFont="1" applyFill="1" applyBorder="1"/>
    <xf numFmtId="2" fontId="5" fillId="5" borderId="5" xfId="0" applyNumberFormat="1" applyFont="1" applyFill="1" applyBorder="1"/>
    <xf numFmtId="2" fontId="6" fillId="6" borderId="5" xfId="0" applyNumberFormat="1" applyFont="1" applyFill="1" applyBorder="1"/>
    <xf numFmtId="10" fontId="5" fillId="5" borderId="5" xfId="0" applyNumberFormat="1" applyFont="1" applyFill="1" applyBorder="1"/>
    <xf numFmtId="10" fontId="6" fillId="6" borderId="5" xfId="0" applyNumberFormat="1" applyFont="1" applyFill="1" applyBorder="1"/>
    <xf numFmtId="4" fontId="5" fillId="5" borderId="5" xfId="0" applyNumberFormat="1" applyFont="1" applyFill="1" applyBorder="1"/>
    <xf numFmtId="4" fontId="6" fillId="6" borderId="5" xfId="0" applyNumberFormat="1" applyFont="1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5" fillId="5" borderId="9" xfId="0" applyFont="1" applyFill="1" applyBorder="1"/>
    <xf numFmtId="2" fontId="15" fillId="5" borderId="10" xfId="0" applyNumberFormat="1" applyFont="1" applyFill="1" applyBorder="1"/>
    <xf numFmtId="2" fontId="15" fillId="5" borderId="11" xfId="0" applyNumberFormat="1" applyFont="1" applyFill="1" applyBorder="1"/>
    <xf numFmtId="0" fontId="6" fillId="6" borderId="9" xfId="0" applyFont="1" applyFill="1" applyBorder="1"/>
    <xf numFmtId="2" fontId="6" fillId="6" borderId="10" xfId="0" applyNumberFormat="1" applyFont="1" applyFill="1" applyBorder="1"/>
    <xf numFmtId="2" fontId="6" fillId="6" borderId="11" xfId="0" applyNumberFormat="1" applyFont="1" applyFill="1" applyBorder="1"/>
    <xf numFmtId="0" fontId="16" fillId="0" borderId="0" xfId="0" applyFont="1"/>
    <xf numFmtId="0" fontId="4" fillId="2" borderId="4" xfId="0" applyFont="1" applyFill="1" applyBorder="1"/>
    <xf numFmtId="0" fontId="15" fillId="5" borderId="5" xfId="0" applyFont="1" applyFill="1" applyBorder="1"/>
    <xf numFmtId="167" fontId="15" fillId="5" borderId="5" xfId="0" applyNumberFormat="1" applyFont="1" applyFill="1" applyBorder="1"/>
    <xf numFmtId="168" fontId="15" fillId="5" borderId="5" xfId="0" applyNumberFormat="1" applyFont="1" applyFill="1" applyBorder="1"/>
    <xf numFmtId="0" fontId="20" fillId="11" borderId="0" xfId="0" applyFon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7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/>
    <xf numFmtId="0" fontId="9" fillId="5" borderId="0" xfId="0" applyFont="1" applyFill="1" applyAlignment="1">
      <alignment wrapText="1"/>
    </xf>
    <xf numFmtId="0" fontId="17" fillId="3" borderId="12" xfId="0" applyFont="1" applyFill="1" applyBorder="1"/>
    <xf numFmtId="0" fontId="17" fillId="3" borderId="13" xfId="0" applyFont="1" applyFill="1" applyBorder="1"/>
    <xf numFmtId="0" fontId="17" fillId="3" borderId="14" xfId="0" applyFont="1" applyFill="1" applyBorder="1"/>
    <xf numFmtId="169" fontId="18" fillId="3" borderId="15" xfId="0" applyNumberFormat="1" applyFont="1" applyFill="1" applyBorder="1" applyAlignment="1">
      <alignment vertical="top"/>
    </xf>
    <xf numFmtId="169" fontId="18" fillId="3" borderId="0" xfId="0" applyNumberFormat="1" applyFont="1" applyFill="1" applyAlignment="1">
      <alignment vertical="top"/>
    </xf>
    <xf numFmtId="169" fontId="18" fillId="3" borderId="16" xfId="0" applyNumberFormat="1" applyFont="1" applyFill="1" applyBorder="1" applyAlignment="1">
      <alignment vertical="top"/>
    </xf>
    <xf numFmtId="169" fontId="18" fillId="3" borderId="17" xfId="0" applyNumberFormat="1" applyFont="1" applyFill="1" applyBorder="1" applyAlignment="1">
      <alignment vertical="top"/>
    </xf>
    <xf numFmtId="169" fontId="18" fillId="3" borderId="4" xfId="0" applyNumberFormat="1" applyFont="1" applyFill="1" applyBorder="1" applyAlignment="1">
      <alignment vertical="top"/>
    </xf>
    <xf numFmtId="169" fontId="18" fillId="3" borderId="18" xfId="0" applyNumberFormat="1" applyFont="1" applyFill="1" applyBorder="1" applyAlignment="1">
      <alignment vertical="top"/>
    </xf>
    <xf numFmtId="0" fontId="17" fillId="6" borderId="12" xfId="0" applyFont="1" applyFill="1" applyBorder="1"/>
    <xf numFmtId="0" fontId="17" fillId="6" borderId="13" xfId="0" applyFont="1" applyFill="1" applyBorder="1"/>
    <xf numFmtId="0" fontId="17" fillId="6" borderId="14" xfId="0" applyFont="1" applyFill="1" applyBorder="1"/>
    <xf numFmtId="170" fontId="18" fillId="6" borderId="15" xfId="0" applyNumberFormat="1" applyFont="1" applyFill="1" applyBorder="1" applyAlignment="1">
      <alignment vertical="top"/>
    </xf>
    <xf numFmtId="170" fontId="18" fillId="6" borderId="0" xfId="0" applyNumberFormat="1" applyFont="1" applyFill="1" applyAlignment="1">
      <alignment vertical="top"/>
    </xf>
    <xf numFmtId="170" fontId="18" fillId="6" borderId="16" xfId="0" applyNumberFormat="1" applyFont="1" applyFill="1" applyBorder="1" applyAlignment="1">
      <alignment vertical="top"/>
    </xf>
    <xf numFmtId="170" fontId="18" fillId="6" borderId="17" xfId="0" applyNumberFormat="1" applyFont="1" applyFill="1" applyBorder="1" applyAlignment="1">
      <alignment vertical="top"/>
    </xf>
    <xf numFmtId="170" fontId="18" fillId="6" borderId="4" xfId="0" applyNumberFormat="1" applyFont="1" applyFill="1" applyBorder="1" applyAlignment="1">
      <alignment vertical="top"/>
    </xf>
    <xf numFmtId="170" fontId="18" fillId="6" borderId="18" xfId="0" applyNumberFormat="1" applyFont="1" applyFill="1" applyBorder="1" applyAlignment="1">
      <alignment vertical="top"/>
    </xf>
    <xf numFmtId="0" fontId="17" fillId="7" borderId="12" xfId="0" applyFont="1" applyFill="1" applyBorder="1"/>
    <xf numFmtId="0" fontId="17" fillId="7" borderId="13" xfId="0" applyFont="1" applyFill="1" applyBorder="1"/>
    <xf numFmtId="0" fontId="17" fillId="7" borderId="14" xfId="0" applyFont="1" applyFill="1" applyBorder="1"/>
    <xf numFmtId="10" fontId="18" fillId="7" borderId="15" xfId="0" applyNumberFormat="1" applyFont="1" applyFill="1" applyBorder="1" applyAlignment="1">
      <alignment vertical="top"/>
    </xf>
    <xf numFmtId="10" fontId="18" fillId="7" borderId="0" xfId="0" applyNumberFormat="1" applyFont="1" applyFill="1" applyAlignment="1">
      <alignment vertical="top"/>
    </xf>
    <xf numFmtId="10" fontId="18" fillId="7" borderId="16" xfId="0" applyNumberFormat="1" applyFont="1" applyFill="1" applyBorder="1" applyAlignment="1">
      <alignment vertical="top"/>
    </xf>
    <xf numFmtId="10" fontId="18" fillId="7" borderId="17" xfId="0" applyNumberFormat="1" applyFont="1" applyFill="1" applyBorder="1" applyAlignment="1">
      <alignment vertical="top"/>
    </xf>
    <xf numFmtId="10" fontId="18" fillId="7" borderId="4" xfId="0" applyNumberFormat="1" applyFont="1" applyFill="1" applyBorder="1" applyAlignment="1">
      <alignment vertical="top"/>
    </xf>
    <xf numFmtId="10" fontId="18" fillId="7" borderId="18" xfId="0" applyNumberFormat="1" applyFont="1" applyFill="1" applyBorder="1" applyAlignment="1">
      <alignment vertical="top"/>
    </xf>
    <xf numFmtId="0" fontId="17" fillId="8" borderId="12" xfId="0" applyFont="1" applyFill="1" applyBorder="1"/>
    <xf numFmtId="0" fontId="17" fillId="8" borderId="13" xfId="0" applyFont="1" applyFill="1" applyBorder="1"/>
    <xf numFmtId="0" fontId="17" fillId="8" borderId="14" xfId="0" applyFont="1" applyFill="1" applyBorder="1"/>
    <xf numFmtId="171" fontId="18" fillId="8" borderId="15" xfId="0" applyNumberFormat="1" applyFont="1" applyFill="1" applyBorder="1" applyAlignment="1">
      <alignment vertical="top"/>
    </xf>
    <xf numFmtId="171" fontId="18" fillId="8" borderId="0" xfId="0" applyNumberFormat="1" applyFont="1" applyFill="1" applyAlignment="1">
      <alignment vertical="top"/>
    </xf>
    <xf numFmtId="171" fontId="18" fillId="8" borderId="16" xfId="0" applyNumberFormat="1" applyFont="1" applyFill="1" applyBorder="1" applyAlignment="1">
      <alignment vertical="top"/>
    </xf>
    <xf numFmtId="171" fontId="18" fillId="8" borderId="17" xfId="0" applyNumberFormat="1" applyFont="1" applyFill="1" applyBorder="1" applyAlignment="1">
      <alignment vertical="top"/>
    </xf>
    <xf numFmtId="171" fontId="18" fillId="8" borderId="4" xfId="0" applyNumberFormat="1" applyFont="1" applyFill="1" applyBorder="1" applyAlignment="1">
      <alignment vertical="top"/>
    </xf>
    <xf numFmtId="171" fontId="18" fillId="8" borderId="18" xfId="0" applyNumberFormat="1" applyFont="1" applyFill="1" applyBorder="1" applyAlignment="1">
      <alignment vertical="top"/>
    </xf>
    <xf numFmtId="0" fontId="19" fillId="10" borderId="0" xfId="0" applyFont="1" applyFill="1" applyAlignment="1">
      <alignment horizontal="center"/>
    </xf>
    <xf numFmtId="0" fontId="17" fillId="9" borderId="12" xfId="0" applyFont="1" applyFill="1" applyBorder="1"/>
    <xf numFmtId="0" fontId="17" fillId="9" borderId="13" xfId="0" applyFont="1" applyFill="1" applyBorder="1"/>
    <xf numFmtId="0" fontId="17" fillId="9" borderId="14" xfId="0" applyFont="1" applyFill="1" applyBorder="1"/>
    <xf numFmtId="3" fontId="18" fillId="9" borderId="15" xfId="0" applyNumberFormat="1" applyFont="1" applyFill="1" applyBorder="1" applyAlignment="1">
      <alignment vertical="top"/>
    </xf>
    <xf numFmtId="3" fontId="18" fillId="9" borderId="0" xfId="0" applyNumberFormat="1" applyFont="1" applyFill="1" applyAlignment="1">
      <alignment vertical="top"/>
    </xf>
    <xf numFmtId="3" fontId="18" fillId="9" borderId="16" xfId="0" applyNumberFormat="1" applyFont="1" applyFill="1" applyBorder="1" applyAlignment="1">
      <alignment vertical="top"/>
    </xf>
    <xf numFmtId="3" fontId="18" fillId="9" borderId="17" xfId="0" applyNumberFormat="1" applyFont="1" applyFill="1" applyBorder="1" applyAlignment="1">
      <alignment vertical="top"/>
    </xf>
    <xf numFmtId="3" fontId="18" fillId="9" borderId="4" xfId="0" applyNumberFormat="1" applyFont="1" applyFill="1" applyBorder="1" applyAlignment="1">
      <alignment vertical="top"/>
    </xf>
    <xf numFmtId="3" fontId="18" fillId="9" borderId="18" xfId="0" applyNumberFormat="1" applyFont="1" applyFill="1" applyBorder="1" applyAlignment="1">
      <alignment vertical="top"/>
    </xf>
    <xf numFmtId="170" fontId="18" fillId="3" borderId="15" xfId="0" applyNumberFormat="1" applyFont="1" applyFill="1" applyBorder="1" applyAlignment="1">
      <alignment vertical="top"/>
    </xf>
    <xf numFmtId="170" fontId="18" fillId="3" borderId="0" xfId="0" applyNumberFormat="1" applyFont="1" applyFill="1" applyAlignment="1">
      <alignment vertical="top"/>
    </xf>
    <xf numFmtId="170" fontId="18" fillId="3" borderId="16" xfId="0" applyNumberFormat="1" applyFont="1" applyFill="1" applyBorder="1" applyAlignment="1">
      <alignment vertical="top"/>
    </xf>
    <xf numFmtId="170" fontId="18" fillId="3" borderId="17" xfId="0" applyNumberFormat="1" applyFont="1" applyFill="1" applyBorder="1" applyAlignment="1">
      <alignment vertical="top"/>
    </xf>
    <xf numFmtId="170" fontId="18" fillId="3" borderId="4" xfId="0" applyNumberFormat="1" applyFont="1" applyFill="1" applyBorder="1" applyAlignment="1">
      <alignment vertical="top"/>
    </xf>
    <xf numFmtId="170" fontId="18" fillId="3" borderId="18" xfId="0" applyNumberFormat="1" applyFont="1" applyFill="1" applyBorder="1" applyAlignment="1">
      <alignment vertical="top"/>
    </xf>
    <xf numFmtId="3" fontId="18" fillId="8" borderId="15" xfId="0" applyNumberFormat="1" applyFont="1" applyFill="1" applyBorder="1" applyAlignment="1">
      <alignment vertical="top"/>
    </xf>
    <xf numFmtId="3" fontId="18" fillId="8" borderId="0" xfId="0" applyNumberFormat="1" applyFont="1" applyFill="1" applyAlignment="1">
      <alignment vertical="top"/>
    </xf>
    <xf numFmtId="3" fontId="18" fillId="8" borderId="16" xfId="0" applyNumberFormat="1" applyFont="1" applyFill="1" applyBorder="1" applyAlignment="1">
      <alignment vertical="top"/>
    </xf>
    <xf numFmtId="3" fontId="18" fillId="8" borderId="17" xfId="0" applyNumberFormat="1" applyFont="1" applyFill="1" applyBorder="1" applyAlignment="1">
      <alignment vertical="top"/>
    </xf>
    <xf numFmtId="3" fontId="18" fillId="8" borderId="4" xfId="0" applyNumberFormat="1" applyFont="1" applyFill="1" applyBorder="1" applyAlignment="1">
      <alignment vertical="top"/>
    </xf>
    <xf numFmtId="3" fontId="18" fillId="8" borderId="18" xfId="0" applyNumberFormat="1" applyFont="1" applyFill="1" applyBorder="1" applyAlignment="1">
      <alignment vertical="top"/>
    </xf>
    <xf numFmtId="10" fontId="18" fillId="8" borderId="15" xfId="0" applyNumberFormat="1" applyFont="1" applyFill="1" applyBorder="1" applyAlignment="1">
      <alignment vertical="top"/>
    </xf>
    <xf numFmtId="10" fontId="18" fillId="8" borderId="0" xfId="0" applyNumberFormat="1" applyFont="1" applyFill="1" applyAlignment="1">
      <alignment vertical="top"/>
    </xf>
    <xf numFmtId="10" fontId="18" fillId="8" borderId="16" xfId="0" applyNumberFormat="1" applyFont="1" applyFill="1" applyBorder="1" applyAlignment="1">
      <alignment vertical="top"/>
    </xf>
    <xf numFmtId="10" fontId="18" fillId="8" borderId="17" xfId="0" applyNumberFormat="1" applyFont="1" applyFill="1" applyBorder="1" applyAlignment="1">
      <alignment vertical="top"/>
    </xf>
    <xf numFmtId="10" fontId="18" fillId="8" borderId="4" xfId="0" applyNumberFormat="1" applyFont="1" applyFill="1" applyBorder="1" applyAlignment="1">
      <alignment vertical="top"/>
    </xf>
    <xf numFmtId="10" fontId="18" fillId="8" borderId="18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center"/>
    </xf>
    <xf numFmtId="0" fontId="9" fillId="8" borderId="0" xfId="0" applyFont="1" applyFill="1" applyAlignment="1">
      <alignment wrapText="1"/>
    </xf>
  </cellXfs>
  <cellStyles count="1">
    <cellStyle name="Normal" xfId="0" builtinId="0"/>
  </cellStyles>
  <dxfs count="5">
    <dxf>
      <numFmt numFmtId="19" formatCode="dd/mm/yyyy"/>
    </dxf>
    <dxf>
      <font>
        <b/>
        <color rgb="FFC84A4A"/>
      </font>
      <fill>
        <patternFill patternType="solid">
          <bgColor rgb="FFFDECEC"/>
        </patternFill>
      </fill>
    </dxf>
    <dxf>
      <font>
        <b/>
        <color rgb="FF2E8B57"/>
      </font>
      <fill>
        <patternFill patternType="solid">
          <bgColor rgb="FFEAF5E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de-DE" sz="900"/>
              <a:t>Annual load and renewable generation (TWh)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Grid load (TWh)</c:v>
          </c:tx>
          <c:marker>
            <c:symbol val="none"/>
          </c:marker>
          <c:cat>
            <c:numRef>
              <c:f>'Annual Summary'!$A$6:$A$9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'Annual Summary'!$C$6:$C$9</c:f>
              <c:numCache>
                <c:formatCode>0.00</c:formatCode>
                <c:ptCount val="4"/>
                <c:pt idx="0">
                  <c:v>482.29594874999998</c:v>
                </c:pt>
                <c:pt idx="1">
                  <c:v>458.38173225000003</c:v>
                </c:pt>
                <c:pt idx="2">
                  <c:v>465.50285778</c:v>
                </c:pt>
                <c:pt idx="3">
                  <c:v>465.81768318000002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1-40B4-9C50-0F41C5C9D329}"/>
            </c:ext>
          </c:extLst>
        </c:ser>
        <c:ser>
          <c:idx val="1"/>
          <c:order val="1"/>
          <c:tx>
            <c:v>Renewable generation (TWh)</c:v>
          </c:tx>
          <c:marker>
            <c:symbol val="none"/>
          </c:marker>
          <c:cat>
            <c:numRef>
              <c:f>'Annual Summary'!$A$6:$A$9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'Annual Summary'!$F$6:$F$9</c:f>
              <c:numCache>
                <c:formatCode>0.00</c:formatCode>
                <c:ptCount val="4"/>
                <c:pt idx="0">
                  <c:v>233.293915</c:v>
                </c:pt>
                <c:pt idx="1">
                  <c:v>251.59137125000001</c:v>
                </c:pt>
                <c:pt idx="2">
                  <c:v>256.18399325000001</c:v>
                </c:pt>
                <c:pt idx="3">
                  <c:v>257.75643042000002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1-40B4-9C50-0F41C5C9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de-DE" sz="900"/>
              <a:t>Average day-ahead price fell after 2022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price</c:v>
          </c:tx>
          <c:marker>
            <c:symbol val="none"/>
          </c:marker>
          <c:cat>
            <c:numRef>
              <c:f>'Annual Summary'!$A$6:$A$9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'Annual Summary'!$H$6:$H$9</c:f>
              <c:numCache>
                <c:formatCode>#,##0.00</c:formatCode>
                <c:ptCount val="4"/>
                <c:pt idx="0">
                  <c:v>235.44596689497715</c:v>
                </c:pt>
                <c:pt idx="1">
                  <c:v>95.17575114155251</c:v>
                </c:pt>
                <c:pt idx="2">
                  <c:v>78.513665755919845</c:v>
                </c:pt>
                <c:pt idx="3">
                  <c:v>89.322464611872149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9-4210-ACB5-2C0EF412A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ji" refreshedDate="46274.623404398146" createdVersion="8" refreshedVersion="8" minRefreshableVersion="3" recordCount="48" xr:uid="{3BE5B0D9-B2FB-4AD3-80BC-A2445787AE91}">
  <cacheSource type="worksheet">
    <worksheetSource name="MonthlyEnergy"/>
  </cacheSource>
  <cacheFields count="29">
    <cacheField name="month_key" numFmtId="0">
      <sharedItems containsSemiMixedTypes="0" containsString="0" containsNumber="1" containsInteger="1" minValue="202201" maxValue="202512"/>
    </cacheField>
    <cacheField name="month_start" numFmtId="14">
      <sharedItems containsSemiMixedTypes="0" containsNonDate="0" containsDate="1" containsString="0" minDate="2022-01-01T00:00:00" maxDate="2025-12-02T00:00:00"/>
    </cacheField>
    <cacheField name="calendar_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_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/>
    </cacheField>
    <cacheField name="observed_day_count" numFmtId="0">
      <sharedItems containsSemiMixedTypes="0" containsString="0" containsNumber="1" containsInteger="1" minValue="28" maxValue="31"/>
    </cacheField>
    <cacheField name="observed_hour_count" numFmtId="0">
      <sharedItems containsSemiMixedTypes="0" containsString="0" containsNumber="1" containsInteger="1" minValue="672" maxValue="745"/>
    </cacheField>
    <cacheField name="grid_load_mwh" numFmtId="0">
      <sharedItems containsSemiMixedTypes="0" containsString="0" containsNumber="1" minValue="35278341.43" maxValue="46287079"/>
    </cacheField>
    <cacheField name="average_grid_load_mw" numFmtId="0">
      <sharedItems containsSemiMixedTypes="0" containsString="0" containsNumber="1" minValue="47544.94" maxValue="62973.06"/>
    </cacheField>
    <cacheField name="peak_grid_load_mw" numFmtId="0">
      <sharedItems containsSemiMixedTypes="0" containsString="0" containsNumber="1" minValue="61810.2" maxValue="78680.5"/>
    </cacheField>
    <cacheField name="reported_generation_mwh" numFmtId="0">
      <sharedItems containsSemiMixedTypes="0" containsString="0" containsNumber="1" minValue="31975152.34" maxValue="48398976.75"/>
    </cacheField>
    <cacheField name="renewable_generation_mwh" numFmtId="0">
      <sharedItems containsSemiMixedTypes="0" containsString="0" containsNumber="1" minValue="16011791.5" maxValue="26781675.25"/>
    </cacheField>
    <cacheField name="conventional_generation_mwh" numFmtId="0">
      <sharedItems containsSemiMixedTypes="0" containsString="0" containsNumber="1" minValue="8295866.5" maxValue="26676979.75"/>
    </cacheField>
    <cacheField name="storage_generation_mwh" numFmtId="0">
      <sharedItems containsSemiMixedTypes="0" containsString="0" containsNumber="1" minValue="673562.35" maxValue="1070466.75"/>
    </cacheField>
    <cacheField name="renewable_share_of_reported_generation_percent" numFmtId="0">
      <sharedItems containsSemiMixedTypes="0" containsString="0" containsNumber="1" minValue="39.68" maxValue="73.3"/>
    </cacheField>
    <cacheField name="average_day_ahead_price_eur_per_mwh" numFmtId="0">
      <sharedItems containsSemiMixedTypes="0" containsString="0" containsNumber="1" minValue="61.34" maxValue="465.18"/>
    </cacheField>
    <cacheField name="minimum_day_ahead_price_eur_per_mwh" numFmtId="0">
      <sharedItems containsSemiMixedTypes="0" containsString="0" containsNumber="1" minValue="-500" maxValue="37.1"/>
    </cacheField>
    <cacheField name="maximum_day_ahead_price_eur_per_mwh" numFmtId="0">
      <sharedItems containsSemiMixedTypes="0" containsString="0" containsNumber="1" minValue="136.22" maxValue="936.28"/>
    </cacheField>
    <cacheField name="negative_price_hour_count" numFmtId="0">
      <sharedItems containsSemiMixedTypes="0" containsString="0" containsNumber="1" containsInteger="1" minValue="0" maxValue="141"/>
    </cacheField>
    <cacheField name="unavailable_generation_value_count" numFmtId="0">
      <sharedItems containsSemiMixedTypes="0" containsString="0" containsNumber="1" containsInteger="1" minValue="0" maxValue="745"/>
    </cacheField>
    <cacheField name="year_month" numFmtId="0">
      <sharedItems/>
    </cacheField>
    <cacheField name="grid_load_twh" numFmtId="0">
      <sharedItems containsSemiMixedTypes="0" containsString="0" containsNumber="1" minValue="35.278341429999998" maxValue="46.287078999999999"/>
    </cacheField>
    <cacheField name="average_grid_load_gw" numFmtId="0">
      <sharedItems containsSemiMixedTypes="0" containsString="0" containsNumber="1" minValue="47.544940000000004" maxValue="62.973059999999997"/>
    </cacheField>
    <cacheField name="peak_grid_load_gw" numFmtId="0">
      <sharedItems containsSemiMixedTypes="0" containsString="0" containsNumber="1" minValue="61.810199999999995" maxValue="78.680499999999995"/>
    </cacheField>
    <cacheField name="renewable_generation_twh" numFmtId="0">
      <sharedItems containsSemiMixedTypes="0" containsString="0" containsNumber="1" minValue="16.011791500000001" maxValue="26.781675249999999"/>
    </cacheField>
    <cacheField name="conventional_generation_twh" numFmtId="0">
      <sharedItems containsSemiMixedTypes="0" containsString="0" containsNumber="1" minValue="8.2958665000000007" maxValue="26.676979750000001"/>
    </cacheField>
    <cacheField name="storage_generation_twh" numFmtId="0">
      <sharedItems containsSemiMixedTypes="0" containsString="0" containsNumber="1" minValue="0.67356234999999998" maxValue="1.07046675"/>
    </cacheField>
    <cacheField name="negative_price_hour_share" numFmtId="0">
      <sharedItems containsSemiMixedTypes="0" containsString="0" containsNumber="1" minValue="0" maxValue="0.195833333333333"/>
    </cacheField>
    <cacheField name="price_hour_weighted_sum" numFmtId="0">
      <sharedItems containsSemiMixedTypes="0" containsString="0" containsNumber="1" minValue="42692.639999999999" maxValue="346093.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201"/>
    <d v="2022-01-01T00:00:00"/>
    <x v="0"/>
    <x v="0"/>
    <s v="January"/>
    <n v="31"/>
    <n v="744"/>
    <n v="46287079"/>
    <n v="62213.82"/>
    <n v="78152.25"/>
    <n v="48398976.75"/>
    <n v="21504007.5"/>
    <n v="26075881.5"/>
    <n v="819087.75"/>
    <n v="44.43"/>
    <n v="167.73"/>
    <n v="-1.05"/>
    <n v="399.85"/>
    <n v="4"/>
    <n v="0"/>
    <s v="2022-01"/>
    <n v="46.287078999999999"/>
    <n v="62.213819999999998"/>
    <n v="78.152249999999995"/>
    <n v="21.5040075"/>
    <n v="26.075881500000001"/>
    <n v="0.81908775"/>
    <n v="5.3763440860215101E-3"/>
    <n v="124791.12"/>
  </r>
  <r>
    <n v="202202"/>
    <d v="2022-02-01T00:00:00"/>
    <x v="0"/>
    <x v="1"/>
    <s v="February"/>
    <n v="28"/>
    <n v="672"/>
    <n v="42317899"/>
    <n v="62973.06"/>
    <n v="78680.5"/>
    <n v="46915026.25"/>
    <n v="26781675.25"/>
    <n v="19446324.25"/>
    <n v="687026.75"/>
    <n v="57.09"/>
    <n v="128.80000000000001"/>
    <n v="-0.52"/>
    <n v="322.89999999999998"/>
    <n v="4"/>
    <n v="0"/>
    <s v="2022-02"/>
    <n v="42.317898999999997"/>
    <n v="62.973059999999997"/>
    <n v="78.680499999999995"/>
    <n v="26.781675249999999"/>
    <n v="19.44632425"/>
    <n v="0.68702675000000002"/>
    <n v="5.9523809523809503E-3"/>
    <n v="86553.600000000006"/>
  </r>
  <r>
    <n v="202203"/>
    <d v="2022-03-01T00:00:00"/>
    <x v="0"/>
    <x v="2"/>
    <s v="March"/>
    <n v="31"/>
    <n v="743"/>
    <n v="43923259.5"/>
    <n v="59116.1"/>
    <n v="71826"/>
    <n v="45576779.25"/>
    <n v="18129298"/>
    <n v="26676979.75"/>
    <n v="770501.5"/>
    <n v="39.78"/>
    <n v="252.01"/>
    <n v="-19.04"/>
    <n v="700"/>
    <n v="6"/>
    <n v="0"/>
    <s v="2022-03"/>
    <n v="43.9232595"/>
    <n v="59.116099999999996"/>
    <n v="71.825999999999993"/>
    <n v="18.129297999999999"/>
    <n v="26.676979750000001"/>
    <n v="0.77050149999999995"/>
    <n v="8.0753701211305502E-3"/>
    <n v="187243.43"/>
  </r>
  <r>
    <n v="202204"/>
    <d v="2022-04-01T00:00:00"/>
    <x v="0"/>
    <x v="3"/>
    <s v="April"/>
    <n v="30"/>
    <n v="720"/>
    <n v="40131877.25"/>
    <n v="55738.720000000001"/>
    <n v="75903.5"/>
    <n v="42519756.5"/>
    <n v="21451593.75"/>
    <n v="20342486"/>
    <n v="725676.75"/>
    <n v="50.45"/>
    <n v="165.73"/>
    <n v="-2.4900000000000002"/>
    <n v="309.93"/>
    <n v="5"/>
    <n v="0"/>
    <s v="2022-04"/>
    <n v="40.131877250000002"/>
    <n v="55.738720000000001"/>
    <n v="75.903499999999994"/>
    <n v="21.451593750000001"/>
    <n v="20.342486000000001"/>
    <n v="0.72567674999999998"/>
    <n v="6.9444444444444397E-3"/>
    <n v="119325.59999999999"/>
  </r>
  <r>
    <n v="202205"/>
    <d v="2022-05-01T00:00:00"/>
    <x v="0"/>
    <x v="4"/>
    <s v="May"/>
    <n v="31"/>
    <n v="744"/>
    <n v="39880332.5"/>
    <n v="53602.6"/>
    <n v="69070"/>
    <n v="38125370.25"/>
    <n v="20089724.25"/>
    <n v="17284558.5"/>
    <n v="751087.5"/>
    <n v="52.69"/>
    <n v="177.48"/>
    <n v="-13.85"/>
    <n v="298.20999999999998"/>
    <n v="16"/>
    <n v="0"/>
    <s v="2022-05"/>
    <n v="39.880332500000002"/>
    <n v="53.602599999999995"/>
    <n v="69.069999999999993"/>
    <n v="20.08972425"/>
    <n v="17.284558499999999"/>
    <n v="0.75108750000000002"/>
    <n v="2.1505376344085999E-2"/>
    <n v="132045.12"/>
  </r>
  <r>
    <n v="202206"/>
    <d v="2022-06-01T00:00:00"/>
    <x v="0"/>
    <x v="5"/>
    <s v="June"/>
    <n v="30"/>
    <n v="720"/>
    <n v="37360445"/>
    <n v="51889.51"/>
    <n v="65747.25"/>
    <n v="36809854.5"/>
    <n v="17997421.75"/>
    <n v="17983193.5"/>
    <n v="829239.25"/>
    <n v="48.89"/>
    <n v="218.03"/>
    <n v="-0.59"/>
    <n v="500"/>
    <n v="3"/>
    <n v="0"/>
    <s v="2022-06"/>
    <n v="37.360444999999999"/>
    <n v="51.889510000000001"/>
    <n v="65.747249999999994"/>
    <n v="17.997421750000001"/>
    <n v="17.983193499999999"/>
    <n v="0.82923924999999998"/>
    <n v="4.1666666666666701E-3"/>
    <n v="156981.6"/>
  </r>
  <r>
    <n v="202207"/>
    <d v="2022-07-01T00:00:00"/>
    <x v="0"/>
    <x v="6"/>
    <s v="July"/>
    <n v="31"/>
    <n v="744"/>
    <n v="38359781.75"/>
    <n v="51558.85"/>
    <n v="67201.5"/>
    <n v="41808608"/>
    <n v="19401326.25"/>
    <n v="21458211"/>
    <n v="949070.75"/>
    <n v="46.41"/>
    <n v="315"/>
    <n v="-0.1"/>
    <n v="679.54"/>
    <n v="2"/>
    <n v="0"/>
    <s v="2022-07"/>
    <n v="38.359781750000003"/>
    <n v="51.55885"/>
    <n v="67.201499999999996"/>
    <n v="19.40132625"/>
    <n v="21.458210999999999"/>
    <n v="0.94907074999999996"/>
    <n v="2.6881720430107499E-3"/>
    <n v="234360"/>
  </r>
  <r>
    <n v="202208"/>
    <d v="2022-08-01T00:00:00"/>
    <x v="0"/>
    <x v="7"/>
    <s v="August"/>
    <n v="31"/>
    <n v="744"/>
    <n v="37448427"/>
    <n v="50333.91"/>
    <n v="64180"/>
    <n v="37772540.5"/>
    <n v="16011791.5"/>
    <n v="20966857.25"/>
    <n v="793891.75"/>
    <n v="42.39"/>
    <n v="465.18"/>
    <n v="13.29"/>
    <n v="871"/>
    <n v="0"/>
    <n v="0"/>
    <s v="2022-08"/>
    <n v="37.448427000000002"/>
    <n v="50.333910000000003"/>
    <n v="64.180000000000007"/>
    <n v="16.011791500000001"/>
    <n v="20.96685725"/>
    <n v="0.79389175000000001"/>
    <n v="0"/>
    <n v="346093.92"/>
  </r>
  <r>
    <n v="202209"/>
    <d v="2022-09-01T00:00:00"/>
    <x v="0"/>
    <x v="8"/>
    <s v="September"/>
    <n v="30"/>
    <n v="720"/>
    <n v="37354092.25"/>
    <n v="51880.68"/>
    <n v="66091.5"/>
    <n v="38543340.75"/>
    <n v="17020270.5"/>
    <n v="20676817.5"/>
    <n v="846252.75"/>
    <n v="44.16"/>
    <n v="346.12"/>
    <n v="2"/>
    <n v="729.9"/>
    <n v="0"/>
    <n v="0"/>
    <s v="2022-09"/>
    <n v="37.354092250000001"/>
    <n v="51.880679999999998"/>
    <n v="66.091499999999996"/>
    <n v="17.020270499999999"/>
    <n v="20.676817499999999"/>
    <n v="0.84625275"/>
    <n v="0"/>
    <n v="249206.39999999999"/>
  </r>
  <r>
    <n v="202210"/>
    <d v="2022-10-01T00:00:00"/>
    <x v="0"/>
    <x v="9"/>
    <s v="October"/>
    <n v="31"/>
    <n v="745"/>
    <n v="38545247"/>
    <n v="51738.59"/>
    <n v="65808.75"/>
    <n v="38569945.25"/>
    <n v="19055695"/>
    <n v="18557773.5"/>
    <n v="956476.75"/>
    <n v="49.41"/>
    <n v="152.6"/>
    <n v="0.1"/>
    <n v="497.39"/>
    <n v="0"/>
    <n v="0"/>
    <s v="2022-10"/>
    <n v="38.545247000000003"/>
    <n v="51.738589999999995"/>
    <n v="65.808750000000003"/>
    <n v="19.055695"/>
    <n v="18.5577735"/>
    <n v="0.95647674999999999"/>
    <n v="0"/>
    <n v="113687"/>
  </r>
  <r>
    <n v="202211"/>
    <d v="2022-11-01T00:00:00"/>
    <x v="0"/>
    <x v="10"/>
    <s v="November"/>
    <n v="30"/>
    <n v="720"/>
    <n v="39774611.25"/>
    <n v="55242.52"/>
    <n v="69343.75"/>
    <n v="41997885.75"/>
    <n v="18813025.5"/>
    <n v="22183391.5"/>
    <n v="1001468.75"/>
    <n v="44.8"/>
    <n v="173.63"/>
    <n v="0.09"/>
    <n v="503.55"/>
    <n v="0"/>
    <n v="0"/>
    <s v="2022-11"/>
    <n v="39.77461125"/>
    <n v="55.242519999999999"/>
    <n v="69.34375"/>
    <n v="18.813025499999998"/>
    <n v="22.183391499999999"/>
    <n v="1.0014687499999999"/>
    <n v="0"/>
    <n v="125013.59999999999"/>
  </r>
  <r>
    <n v="202212"/>
    <d v="2022-12-01T00:00:00"/>
    <x v="0"/>
    <x v="11"/>
    <s v="December"/>
    <n v="31"/>
    <n v="744"/>
    <n v="40912897.25"/>
    <n v="54990.45"/>
    <n v="71538"/>
    <n v="42943392"/>
    <n v="17038085.75"/>
    <n v="24881263"/>
    <n v="1024043.25"/>
    <n v="39.68"/>
    <n v="251.62"/>
    <n v="-3.78"/>
    <n v="665.01"/>
    <n v="29"/>
    <n v="0"/>
    <s v="2022-12"/>
    <n v="40.91289725"/>
    <n v="54.990449999999996"/>
    <n v="71.537999999999997"/>
    <n v="17.03808575"/>
    <n v="24.881263000000001"/>
    <n v="1.0240432500000001"/>
    <n v="3.89784946236559E-2"/>
    <n v="187205.28"/>
  </r>
  <r>
    <n v="202301"/>
    <d v="2023-01-01T00:00:00"/>
    <x v="1"/>
    <x v="0"/>
    <s v="January"/>
    <n v="31"/>
    <n v="744"/>
    <n v="42152953.75"/>
    <n v="56657.2"/>
    <n v="71710.25"/>
    <n v="44562883.75"/>
    <n v="22711835.5"/>
    <n v="20880941.75"/>
    <n v="970106.5"/>
    <n v="50.97"/>
    <n v="117.83"/>
    <n v="-5.4"/>
    <n v="270.22000000000003"/>
    <n v="14"/>
    <n v="0"/>
    <s v="2023-01"/>
    <n v="42.152953750000002"/>
    <n v="56.657199999999996"/>
    <n v="71.710250000000002"/>
    <n v="22.711835499999999"/>
    <n v="20.880941750000002"/>
    <n v="0.97010649999999998"/>
    <n v="1.8817204301075301E-2"/>
    <n v="87665.52"/>
  </r>
  <r>
    <n v="202302"/>
    <d v="2023-02-01T00:00:00"/>
    <x v="1"/>
    <x v="1"/>
    <s v="February"/>
    <n v="28"/>
    <n v="672"/>
    <n v="38138075.5"/>
    <n v="56753.09"/>
    <n v="71039.75"/>
    <n v="41591603.5"/>
    <n v="18358493.25"/>
    <n v="22559183.5"/>
    <n v="673926.75"/>
    <n v="44.14"/>
    <n v="128.31"/>
    <n v="22.01"/>
    <n v="245.6"/>
    <n v="0"/>
    <n v="0"/>
    <s v="2023-02"/>
    <n v="38.138075499999999"/>
    <n v="56.753089999999993"/>
    <n v="71.039749999999998"/>
    <n v="18.358493249999999"/>
    <n v="22.5591835"/>
    <n v="0.67392675000000002"/>
    <n v="0"/>
    <n v="86224.320000000007"/>
  </r>
  <r>
    <n v="202303"/>
    <d v="2023-03-01T00:00:00"/>
    <x v="1"/>
    <x v="2"/>
    <s v="March"/>
    <n v="31"/>
    <n v="743"/>
    <n v="40877975.25"/>
    <n v="55017.46"/>
    <n v="67929.25"/>
    <n v="43533282"/>
    <n v="22708597.75"/>
    <n v="19857418.75"/>
    <n v="967265.5"/>
    <n v="52.16"/>
    <n v="102.52"/>
    <n v="-6.02"/>
    <n v="217.09"/>
    <n v="9"/>
    <n v="0"/>
    <s v="2023-03"/>
    <n v="40.877975249999999"/>
    <n v="55.01746"/>
    <n v="67.929249999999996"/>
    <n v="22.708597749999999"/>
    <n v="19.857418750000001"/>
    <n v="0.9672655"/>
    <n v="1.21130551816958E-2"/>
    <n v="76172.36"/>
  </r>
  <r>
    <n v="202304"/>
    <d v="2023-04-01T00:00:00"/>
    <x v="1"/>
    <x v="3"/>
    <s v="April"/>
    <n v="30"/>
    <n v="720"/>
    <n v="36156149.75"/>
    <n v="50216.87"/>
    <n v="64854.25"/>
    <n v="36337631.75"/>
    <n v="19941777.25"/>
    <n v="15456739.75"/>
    <n v="939114.75"/>
    <n v="54.88"/>
    <n v="100.74"/>
    <n v="-8.82"/>
    <n v="207.92"/>
    <n v="11"/>
    <n v="0"/>
    <s v="2023-04"/>
    <n v="36.156149749999997"/>
    <n v="50.21687"/>
    <n v="64.854249999999993"/>
    <n v="19.941777250000001"/>
    <n v="15.456739750000001"/>
    <n v="0.93911475"/>
    <n v="1.52777777777778E-2"/>
    <n v="72532.800000000003"/>
  </r>
  <r>
    <n v="202305"/>
    <d v="2023-05-01T00:00:00"/>
    <x v="1"/>
    <x v="4"/>
    <s v="May"/>
    <n v="31"/>
    <n v="744"/>
    <n v="36323273.25"/>
    <n v="48821.599999999999"/>
    <n v="64015.5"/>
    <n v="33798360.25"/>
    <n v="21187865.5"/>
    <n v="11682799.5"/>
    <n v="927695.25"/>
    <n v="62.69"/>
    <n v="81.72"/>
    <n v="-129.96"/>
    <n v="182.68"/>
    <n v="33"/>
    <n v="0"/>
    <s v="2023-05"/>
    <n v="36.32327325"/>
    <n v="48.821599999999997"/>
    <n v="64.015500000000003"/>
    <n v="21.187865500000001"/>
    <n v="11.6827995"/>
    <n v="0.92769524999999997"/>
    <n v="4.4354838709677401E-2"/>
    <n v="60799.68"/>
  </r>
  <r>
    <n v="202306"/>
    <d v="2023-06-01T00:00:00"/>
    <x v="1"/>
    <x v="5"/>
    <s v="June"/>
    <n v="30"/>
    <n v="720"/>
    <n v="35475148.75"/>
    <n v="49271.040000000001"/>
    <n v="64164.75"/>
    <n v="32687061.25"/>
    <n v="19469121.25"/>
    <n v="12462163"/>
    <n v="755777"/>
    <n v="59.56"/>
    <n v="94.76"/>
    <n v="-36.35"/>
    <n v="197.77"/>
    <n v="20"/>
    <n v="0"/>
    <s v="2023-06"/>
    <n v="35.475148750000002"/>
    <n v="49.271039999999999"/>
    <n v="64.164749999999998"/>
    <n v="19.469121250000001"/>
    <n v="12.462163"/>
    <n v="0.75577700000000003"/>
    <n v="2.7777777777777801E-2"/>
    <n v="68227.199999999997"/>
  </r>
  <r>
    <n v="202307"/>
    <d v="2023-07-01T00:00:00"/>
    <x v="1"/>
    <x v="6"/>
    <s v="July"/>
    <n v="31"/>
    <n v="744"/>
    <n v="36253498"/>
    <n v="48727.82"/>
    <n v="63658.25"/>
    <n v="34304224.25"/>
    <n v="22352358.5"/>
    <n v="11260857"/>
    <n v="691008.75"/>
    <n v="65.16"/>
    <n v="77.61"/>
    <n v="-500"/>
    <n v="188"/>
    <n v="56"/>
    <n v="0"/>
    <s v="2023-07"/>
    <n v="36.253498"/>
    <n v="48.727820000000001"/>
    <n v="63.658250000000002"/>
    <n v="22.352358500000001"/>
    <n v="11.260857"/>
    <n v="0.69100874999999995"/>
    <n v="7.5268817204301106E-2"/>
    <n v="57741.84"/>
  </r>
  <r>
    <n v="202308"/>
    <d v="2023-08-01T00:00:00"/>
    <x v="1"/>
    <x v="7"/>
    <s v="August"/>
    <n v="31"/>
    <n v="744"/>
    <n v="36307265"/>
    <n v="48800.09"/>
    <n v="63071.5"/>
    <n v="31982277.25"/>
    <n v="18099143.5"/>
    <n v="13053799.25"/>
    <n v="829334.5"/>
    <n v="56.59"/>
    <n v="94.32"/>
    <n v="-21.77"/>
    <n v="291.93"/>
    <n v="23"/>
    <n v="0"/>
    <s v="2023-08"/>
    <n v="36.307265000000001"/>
    <n v="48.800089999999997"/>
    <n v="63.0715"/>
    <n v="18.0991435"/>
    <n v="13.053799250000001"/>
    <n v="0.82933449999999997"/>
    <n v="3.0913978494623701E-2"/>
    <n v="70174.080000000002"/>
  </r>
  <r>
    <n v="202309"/>
    <d v="2023-09-01T00:00:00"/>
    <x v="1"/>
    <x v="8"/>
    <s v="September"/>
    <n v="30"/>
    <n v="720"/>
    <n v="35812639.25"/>
    <n v="49739.78"/>
    <n v="63746.75"/>
    <n v="32338160.25"/>
    <n v="17526490"/>
    <n v="13985480.25"/>
    <n v="826190"/>
    <n v="54.2"/>
    <n v="100.72"/>
    <n v="-5.74"/>
    <n v="524.27"/>
    <n v="22"/>
    <n v="0"/>
    <s v="2023-09"/>
    <n v="35.812639249999997"/>
    <n v="49.739779999999996"/>
    <n v="63.746749999999999"/>
    <n v="17.526489999999999"/>
    <n v="13.98548025"/>
    <n v="0.82618999999999998"/>
    <n v="3.05555555555556E-2"/>
    <n v="72518.399999999994"/>
  </r>
  <r>
    <n v="202310"/>
    <d v="2023-10-01T00:00:00"/>
    <x v="1"/>
    <x v="9"/>
    <s v="October"/>
    <n v="31"/>
    <n v="745"/>
    <n v="38794876.75"/>
    <n v="52073.66"/>
    <n v="68280"/>
    <n v="38018825"/>
    <n v="21931551"/>
    <n v="15182667"/>
    <n v="904607"/>
    <n v="57.69"/>
    <n v="87.38"/>
    <n v="-11.07"/>
    <n v="250.28"/>
    <n v="38"/>
    <n v="0"/>
    <s v="2023-10"/>
    <n v="38.79487675"/>
    <n v="52.073660000000004"/>
    <n v="68.28"/>
    <n v="21.931550999999999"/>
    <n v="15.182667"/>
    <n v="0.90460700000000005"/>
    <n v="5.1006711409395999E-2"/>
    <n v="65098.1"/>
  </r>
  <r>
    <n v="202311"/>
    <d v="2023-11-01T00:00:00"/>
    <x v="1"/>
    <x v="10"/>
    <s v="November"/>
    <n v="30"/>
    <n v="720"/>
    <n v="41090774"/>
    <n v="57070.52"/>
    <n v="72447"/>
    <n v="41109005"/>
    <n v="22654226"/>
    <n v="17602772.75"/>
    <n v="852006.25"/>
    <n v="55.11"/>
    <n v="91.12"/>
    <n v="-0.08"/>
    <n v="261"/>
    <n v="3"/>
    <n v="0"/>
    <s v="2023-11"/>
    <n v="41.090774000000003"/>
    <n v="57.070519999999995"/>
    <n v="72.447000000000003"/>
    <n v="22.654226000000001"/>
    <n v="17.60277275"/>
    <n v="0.85200624999999997"/>
    <n v="4.1666666666666701E-3"/>
    <n v="65606.400000000009"/>
  </r>
  <r>
    <n v="202312"/>
    <d v="2023-12-01T00:00:00"/>
    <x v="1"/>
    <x v="11"/>
    <s v="December"/>
    <n v="31"/>
    <n v="744"/>
    <n v="40999103"/>
    <n v="55106.32"/>
    <n v="73747.5"/>
    <n v="43287025.25"/>
    <n v="24649911.75"/>
    <n v="17798167.5"/>
    <n v="838946"/>
    <n v="56.95"/>
    <n v="68.52"/>
    <n v="-13.37"/>
    <n v="230.69"/>
    <n v="72"/>
    <n v="0"/>
    <s v="2023-12"/>
    <n v="40.999102999999998"/>
    <n v="55.106319999999997"/>
    <n v="73.747500000000002"/>
    <n v="24.649911750000001"/>
    <n v="17.798167500000002"/>
    <n v="0.83894599999999997"/>
    <n v="9.6774193548387094E-2"/>
    <n v="50978.879999999997"/>
  </r>
  <r>
    <n v="202401"/>
    <d v="2024-01-01T00:00:00"/>
    <x v="2"/>
    <x v="0"/>
    <s v="January"/>
    <n v="31"/>
    <n v="744"/>
    <n v="44095498.25"/>
    <n v="59268.14"/>
    <n v="75508.25"/>
    <n v="45019775.75"/>
    <n v="24837194.5"/>
    <n v="19385001.75"/>
    <n v="797579.5"/>
    <n v="55.17"/>
    <n v="76.569999999999993"/>
    <n v="-4.84"/>
    <n v="150.09"/>
    <n v="16"/>
    <n v="36"/>
    <s v="2024-01"/>
    <n v="44.095498249999999"/>
    <n v="59.268140000000002"/>
    <n v="75.508250000000004"/>
    <n v="24.837194499999999"/>
    <n v="19.385001750000001"/>
    <n v="0.7975795"/>
    <n v="2.1505376344085999E-2"/>
    <n v="56968.079999999994"/>
  </r>
  <r>
    <n v="202402"/>
    <d v="2024-02-01T00:00:00"/>
    <x v="2"/>
    <x v="1"/>
    <s v="February"/>
    <n v="29"/>
    <n v="696"/>
    <n v="39956911"/>
    <n v="57409.35"/>
    <n v="70974.25"/>
    <n v="39611473.5"/>
    <n v="23595476"/>
    <n v="15245618"/>
    <n v="770379.5"/>
    <n v="59.57"/>
    <n v="61.34"/>
    <n v="-0.13"/>
    <n v="136.22"/>
    <n v="4"/>
    <n v="696"/>
    <s v="2024-02"/>
    <n v="39.956910999999998"/>
    <n v="57.409349999999996"/>
    <n v="70.974249999999998"/>
    <n v="23.595476000000001"/>
    <n v="15.245618"/>
    <n v="0.77037949999999999"/>
    <n v="5.74712643678161E-3"/>
    <n v="42692.639999999999"/>
  </r>
  <r>
    <n v="202403"/>
    <d v="2024-03-01T00:00:00"/>
    <x v="2"/>
    <x v="2"/>
    <s v="March"/>
    <n v="31"/>
    <n v="743"/>
    <n v="40192601.75"/>
    <n v="54095.02"/>
    <n v="70041.25"/>
    <n v="38119183"/>
    <n v="21712578"/>
    <n v="15588116.25"/>
    <n v="818488.75"/>
    <n v="56.96"/>
    <n v="64.7"/>
    <n v="-9.98"/>
    <n v="174.7"/>
    <n v="12"/>
    <n v="743"/>
    <s v="2024-03"/>
    <n v="40.192601750000001"/>
    <n v="54.095019999999998"/>
    <n v="70.041250000000005"/>
    <n v="21.712578000000001"/>
    <n v="15.588116250000001"/>
    <n v="0.81848874999999999"/>
    <n v="1.61507402422611E-2"/>
    <n v="48072.1"/>
  </r>
  <r>
    <n v="202404"/>
    <d v="2024-04-01T00:00:00"/>
    <x v="2"/>
    <x v="3"/>
    <s v="April"/>
    <n v="30"/>
    <n v="720"/>
    <n v="37730955.5"/>
    <n v="52404.1"/>
    <n v="67257.75"/>
    <n v="35447379"/>
    <n v="22993354.25"/>
    <n v="11550222"/>
    <n v="903802.75"/>
    <n v="64.87"/>
    <n v="62.36"/>
    <n v="-65.06"/>
    <n v="204.57"/>
    <n v="50"/>
    <n v="720"/>
    <s v="2024-04"/>
    <n v="37.7309555"/>
    <n v="52.4041"/>
    <n v="67.257750000000001"/>
    <n v="22.993354249999999"/>
    <n v="11.550222"/>
    <n v="0.90380274999999999"/>
    <n v="6.9444444444444406E-2"/>
    <n v="44899.199999999997"/>
  </r>
  <r>
    <n v="202405"/>
    <d v="2024-05-01T00:00:00"/>
    <x v="2"/>
    <x v="4"/>
    <s v="May"/>
    <n v="31"/>
    <n v="744"/>
    <n v="35983512.75"/>
    <n v="48364.94"/>
    <n v="63385.75"/>
    <n v="33083439.25"/>
    <n v="21175241.5"/>
    <n v="11003711.5"/>
    <n v="904486.25"/>
    <n v="64.010000000000005"/>
    <n v="67.209999999999994"/>
    <n v="-135.44999999999999"/>
    <n v="221.46"/>
    <n v="78"/>
    <n v="744"/>
    <s v="2024-05"/>
    <n v="35.983512750000003"/>
    <n v="48.364940000000004"/>
    <n v="63.385750000000002"/>
    <n v="21.175241499999998"/>
    <n v="11.0037115"/>
    <n v="0.90448625000000005"/>
    <n v="0.104838709677419"/>
    <n v="50004.24"/>
  </r>
  <r>
    <n v="202406"/>
    <d v="2024-06-01T00:00:00"/>
    <x v="2"/>
    <x v="5"/>
    <s v="June"/>
    <n v="30"/>
    <n v="720"/>
    <n v="35704641.25"/>
    <n v="49589.78"/>
    <n v="63286.75"/>
    <n v="32606663"/>
    <n v="20644355.25"/>
    <n v="11010561.75"/>
    <n v="951746"/>
    <n v="63.31"/>
    <n v="72.89"/>
    <n v="-80.010000000000005"/>
    <n v="235.52"/>
    <n v="64"/>
    <n v="720"/>
    <s v="2024-06"/>
    <n v="35.704641250000002"/>
    <n v="49.589779999999998"/>
    <n v="63.286749999999998"/>
    <n v="20.64435525"/>
    <n v="11.010561750000001"/>
    <n v="0.95174599999999998"/>
    <n v="8.8888888888888906E-2"/>
    <n v="52480.800000000003"/>
  </r>
  <r>
    <n v="202407"/>
    <d v="2024-07-01T00:00:00"/>
    <x v="2"/>
    <x v="6"/>
    <s v="July"/>
    <n v="31"/>
    <n v="744"/>
    <n v="36973712.75"/>
    <n v="49695.85"/>
    <n v="65836.25"/>
    <n v="33495823.75"/>
    <n v="21225183"/>
    <n v="11200174"/>
    <n v="1070466.75"/>
    <n v="63.37"/>
    <n v="67.7"/>
    <n v="-73.959999999999994"/>
    <n v="257.35000000000002"/>
    <n v="81"/>
    <n v="744"/>
    <s v="2024-07"/>
    <n v="36.973712749999997"/>
    <n v="49.69585"/>
    <n v="65.836250000000007"/>
    <n v="21.225183000000001"/>
    <n v="11.200174000000001"/>
    <n v="1.07046675"/>
    <n v="0.108870967741935"/>
    <n v="50368.800000000003"/>
  </r>
  <r>
    <n v="202408"/>
    <d v="2024-08-01T00:00:00"/>
    <x v="2"/>
    <x v="7"/>
    <s v="August"/>
    <n v="31"/>
    <n v="744"/>
    <n v="36921844"/>
    <n v="49626.13"/>
    <n v="63410.25"/>
    <n v="32766383.75"/>
    <n v="19908049"/>
    <n v="11863696.75"/>
    <n v="994638"/>
    <n v="60.76"/>
    <n v="82.05"/>
    <n v="-59.96"/>
    <n v="289.27"/>
    <n v="68"/>
    <n v="744"/>
    <s v="2024-08"/>
    <n v="36.921844"/>
    <n v="49.626129999999996"/>
    <n v="63.410249999999998"/>
    <n v="19.908048999999998"/>
    <n v="11.863696750000001"/>
    <n v="0.99463800000000002"/>
    <n v="9.1397849462365593E-2"/>
    <n v="61045.2"/>
  </r>
  <r>
    <n v="202409"/>
    <d v="2024-09-01T00:00:00"/>
    <x v="2"/>
    <x v="8"/>
    <s v="September"/>
    <n v="30"/>
    <n v="720"/>
    <n v="36646160.530000001"/>
    <n v="50897.45"/>
    <n v="65057"/>
    <n v="33809086.75"/>
    <n v="21108167"/>
    <n v="11863249.25"/>
    <n v="837670.5"/>
    <n v="62.43"/>
    <n v="78.31"/>
    <n v="-24"/>
    <n v="656.37"/>
    <n v="40"/>
    <n v="720"/>
    <s v="2024-09"/>
    <n v="36.646160530000003"/>
    <n v="50.897449999999999"/>
    <n v="65.057000000000002"/>
    <n v="21.108167000000002"/>
    <n v="11.863249250000001"/>
    <n v="0.83767049999999998"/>
    <n v="5.5555555555555601E-2"/>
    <n v="56383.200000000004"/>
  </r>
  <r>
    <n v="202410"/>
    <d v="2024-10-01T00:00:00"/>
    <x v="2"/>
    <x v="9"/>
    <s v="October"/>
    <n v="31"/>
    <n v="745"/>
    <n v="38537384"/>
    <n v="51728.03"/>
    <n v="65491.75"/>
    <n v="34759714"/>
    <n v="18885984"/>
    <n v="15039636.25"/>
    <n v="834093.75"/>
    <n v="54.33"/>
    <n v="86.1"/>
    <n v="-15.69"/>
    <n v="285.8"/>
    <n v="25"/>
    <n v="745"/>
    <s v="2024-10"/>
    <n v="38.537384000000003"/>
    <n v="51.728029999999997"/>
    <n v="65.491749999999996"/>
    <n v="18.885984000000001"/>
    <n v="15.039636249999999"/>
    <n v="0.83409374999999997"/>
    <n v="3.35570469798658E-2"/>
    <n v="64144.499999999993"/>
  </r>
  <r>
    <n v="202411"/>
    <d v="2024-11-01T00:00:00"/>
    <x v="2"/>
    <x v="10"/>
    <s v="November"/>
    <n v="30"/>
    <n v="720"/>
    <n v="41376520"/>
    <n v="57467.39"/>
    <n v="72944.75"/>
    <n v="38701564.75"/>
    <n v="18334035.25"/>
    <n v="19650342.5"/>
    <n v="717187"/>
    <n v="47.37"/>
    <n v="113.91"/>
    <n v="-1.86"/>
    <n v="820.11"/>
    <n v="11"/>
    <n v="720"/>
    <s v="2024-11"/>
    <n v="41.376519999999999"/>
    <n v="57.467390000000002"/>
    <n v="72.944749999999999"/>
    <n v="18.334035249999999"/>
    <n v="19.650342500000001"/>
    <n v="0.71718700000000002"/>
    <n v="1.52777777777778E-2"/>
    <n v="82015.199999999997"/>
  </r>
  <r>
    <n v="202412"/>
    <d v="2024-12-01T00:00:00"/>
    <x v="2"/>
    <x v="11"/>
    <s v="December"/>
    <n v="31"/>
    <n v="744"/>
    <n v="41383116"/>
    <n v="55622.47"/>
    <n v="74516.25"/>
    <n v="40233990.25"/>
    <n v="21764375.5"/>
    <n v="17679460.75"/>
    <n v="790154"/>
    <n v="54.09"/>
    <n v="108.32"/>
    <n v="-2.06"/>
    <n v="936.28"/>
    <n v="8"/>
    <n v="744"/>
    <s v="2024-12"/>
    <n v="41.383116000000001"/>
    <n v="55.62247"/>
    <n v="74.516249999999999"/>
    <n v="21.7643755"/>
    <n v="17.679460750000001"/>
    <n v="0.79015400000000002"/>
    <n v="1.0752688172042999E-2"/>
    <n v="80590.080000000002"/>
  </r>
  <r>
    <n v="202501"/>
    <d v="2025-01-01T00:00:00"/>
    <x v="3"/>
    <x v="0"/>
    <s v="January"/>
    <n v="31"/>
    <n v="744"/>
    <n v="44170689.75"/>
    <n v="59369.21"/>
    <n v="75361"/>
    <n v="42431050.280000001"/>
    <n v="21982044.280000001"/>
    <n v="19595893.75"/>
    <n v="853112.25"/>
    <n v="51.81"/>
    <n v="114.14"/>
    <n v="-1.01"/>
    <n v="583.4"/>
    <n v="14"/>
    <n v="744"/>
    <s v="2025-01"/>
    <n v="44.170689750000001"/>
    <n v="59.369210000000002"/>
    <n v="75.361000000000004"/>
    <n v="21.98204428"/>
    <n v="19.595893749999998"/>
    <n v="0.85311225000000002"/>
    <n v="1.8817204301075301E-2"/>
    <n v="84920.16"/>
  </r>
  <r>
    <n v="202502"/>
    <d v="2025-02-01T00:00:00"/>
    <x v="3"/>
    <x v="1"/>
    <s v="February"/>
    <n v="28"/>
    <n v="672"/>
    <n v="40067317.229999997"/>
    <n v="59623.98"/>
    <n v="73879.92"/>
    <n v="37601211"/>
    <n v="16667015"/>
    <n v="20189210.25"/>
    <n v="744985.75"/>
    <n v="44.33"/>
    <n v="128.52000000000001"/>
    <n v="37.1"/>
    <n v="298.91000000000003"/>
    <n v="0"/>
    <n v="672"/>
    <s v="2025-02"/>
    <n v="40.067317229999993"/>
    <n v="59.623980000000003"/>
    <n v="73.879919999999998"/>
    <n v="16.667014999999999"/>
    <n v="20.189210249999999"/>
    <n v="0.74498575"/>
    <n v="0"/>
    <n v="86365.440000000002"/>
  </r>
  <r>
    <n v="202503"/>
    <d v="2025-03-01T00:00:00"/>
    <x v="3"/>
    <x v="2"/>
    <s v="March"/>
    <n v="31"/>
    <n v="743"/>
    <n v="40563594.770000003"/>
    <n v="54594.34"/>
    <n v="68768.47"/>
    <n v="37707997.770000003"/>
    <n v="19469569.02"/>
    <n v="17335289.75"/>
    <n v="903139"/>
    <n v="51.63"/>
    <n v="94.73"/>
    <n v="-26.07"/>
    <n v="280.07"/>
    <n v="30"/>
    <n v="743"/>
    <s v="2025-03"/>
    <n v="40.563594770000002"/>
    <n v="54.594339999999995"/>
    <n v="68.768470000000008"/>
    <n v="19.469569019999998"/>
    <n v="17.335289750000001"/>
    <n v="0.90313900000000003"/>
    <n v="4.0376850605652798E-2"/>
    <n v="70384.39"/>
  </r>
  <r>
    <n v="202504"/>
    <d v="2025-04-01T00:00:00"/>
    <x v="3"/>
    <x v="3"/>
    <s v="April"/>
    <n v="30"/>
    <n v="720"/>
    <n v="36341729.390000001"/>
    <n v="50474.62"/>
    <n v="64819.75"/>
    <n v="33490498.25"/>
    <n v="19933584.25"/>
    <n v="12601998.75"/>
    <n v="954915.25"/>
    <n v="59.52"/>
    <n v="77.94"/>
    <n v="-129.81"/>
    <n v="263.2"/>
    <n v="75"/>
    <n v="720"/>
    <s v="2025-04"/>
    <n v="36.341729389999998"/>
    <n v="50.474620000000002"/>
    <n v="64.819749999999999"/>
    <n v="19.933584249999999"/>
    <n v="12.60199875"/>
    <n v="0.95491524999999999"/>
    <n v="0.104166666666667"/>
    <n v="56116.799999999996"/>
  </r>
  <r>
    <n v="202505"/>
    <d v="2025-05-01T00:00:00"/>
    <x v="3"/>
    <x v="4"/>
    <s v="May"/>
    <n v="31"/>
    <n v="744"/>
    <n v="36264727.810000002"/>
    <n v="48742.91"/>
    <n v="63699.13"/>
    <n v="34504090"/>
    <n v="24114296.25"/>
    <n v="9404821.75"/>
    <n v="984972"/>
    <n v="69.89"/>
    <n v="67.34"/>
    <n v="-250.32"/>
    <n v="229.11"/>
    <n v="129"/>
    <n v="744"/>
    <s v="2025-05"/>
    <n v="36.264727810000004"/>
    <n v="48.742910000000002"/>
    <n v="63.699129999999997"/>
    <n v="24.114296249999999"/>
    <n v="9.40482175"/>
    <n v="0.98497199999999996"/>
    <n v="0.17338709677419401"/>
    <n v="50100.959999999999"/>
  </r>
  <r>
    <n v="202506"/>
    <d v="2025-06-01T00:00:00"/>
    <x v="3"/>
    <x v="5"/>
    <s v="June"/>
    <n v="30"/>
    <n v="720"/>
    <n v="35278341.43"/>
    <n v="48997.7"/>
    <n v="63766.42"/>
    <n v="34502382"/>
    <n v="25289737.25"/>
    <n v="8295866.5"/>
    <n v="916778.25"/>
    <n v="73.3"/>
    <n v="63.99"/>
    <n v="-99.01"/>
    <n v="288.97000000000003"/>
    <n v="141"/>
    <n v="720"/>
    <s v="2025-06"/>
    <n v="35.278341429999998"/>
    <n v="48.997699999999995"/>
    <n v="63.766419999999997"/>
    <n v="25.289737250000002"/>
    <n v="8.2958665000000007"/>
    <n v="0.91677825000000002"/>
    <n v="0.195833333333333"/>
    <n v="46072.800000000003"/>
  </r>
  <r>
    <n v="202507"/>
    <d v="2025-07-01T00:00:00"/>
    <x v="3"/>
    <x v="6"/>
    <s v="July"/>
    <n v="31"/>
    <n v="744"/>
    <n v="37035779.420000002"/>
    <n v="49779.27"/>
    <n v="64026.38"/>
    <n v="33616454.670000002"/>
    <n v="21139579.920000002"/>
    <n v="11667944.5"/>
    <n v="808930.25"/>
    <n v="62.88"/>
    <n v="87.8"/>
    <n v="-2.2599999999999998"/>
    <n v="476.19"/>
    <n v="12"/>
    <n v="744"/>
    <s v="2025-07"/>
    <n v="37.035779420000004"/>
    <n v="49.779269999999997"/>
    <n v="64.026380000000003"/>
    <n v="21.139579920000003"/>
    <n v="11.667944500000001"/>
    <n v="0.80893024999999996"/>
    <n v="1.6129032258064498E-2"/>
    <n v="65323.199999999997"/>
  </r>
  <r>
    <n v="202508"/>
    <d v="2025-08-01T00:00:00"/>
    <x v="3"/>
    <x v="7"/>
    <s v="August"/>
    <n v="31"/>
    <n v="744"/>
    <n v="35373436.100000001"/>
    <n v="47544.94"/>
    <n v="61810.2"/>
    <n v="31975152.34"/>
    <n v="21220000.09"/>
    <n v="9912107"/>
    <n v="843045.25"/>
    <n v="66.36"/>
    <n v="76.989999999999995"/>
    <n v="-61.08"/>
    <n v="283.89"/>
    <n v="64"/>
    <n v="744"/>
    <s v="2025-08"/>
    <n v="35.373436099999999"/>
    <n v="47.544940000000004"/>
    <n v="61.810199999999995"/>
    <n v="21.220000089999999"/>
    <n v="9.9121070000000007"/>
    <n v="0.84304524999999997"/>
    <n v="8.6021505376344107E-2"/>
    <n v="57280.56"/>
  </r>
  <r>
    <n v="202509"/>
    <d v="2025-09-01T00:00:00"/>
    <x v="3"/>
    <x v="8"/>
    <s v="September"/>
    <n v="30"/>
    <n v="720"/>
    <n v="36471748.950000003"/>
    <n v="50655.21"/>
    <n v="65972.03"/>
    <n v="34504646.399999999"/>
    <n v="22642824.649999999"/>
    <n v="11128170.5"/>
    <n v="733651.25"/>
    <n v="65.62"/>
    <n v="83.51"/>
    <n v="-53.4"/>
    <n v="413.66"/>
    <n v="60"/>
    <n v="720"/>
    <s v="2025-09"/>
    <n v="36.471748950000006"/>
    <n v="50.655209999999997"/>
    <n v="65.972030000000004"/>
    <n v="22.642824649999998"/>
    <n v="11.1281705"/>
    <n v="0.73365124999999998"/>
    <n v="8.3333333333333301E-2"/>
    <n v="60127.200000000004"/>
  </r>
  <r>
    <n v="202510"/>
    <d v="2025-10-01T00:00:00"/>
    <x v="3"/>
    <x v="9"/>
    <s v="October"/>
    <n v="31"/>
    <n v="745"/>
    <n v="40475526.450000003"/>
    <n v="54329.57"/>
    <n v="69184.45"/>
    <n v="39711732.810000002"/>
    <n v="24470605.359999999"/>
    <n v="14484390.35"/>
    <n v="756737.1"/>
    <n v="61.62"/>
    <n v="84.4"/>
    <n v="-4.9800000000000004"/>
    <n v="407.21"/>
    <n v="48"/>
    <n v="745"/>
    <s v="2025-10"/>
    <n v="40.475526450000004"/>
    <n v="54.329569999999997"/>
    <n v="69.184449999999998"/>
    <n v="24.47060536"/>
    <n v="14.48439035"/>
    <n v="0.75673709999999994"/>
    <n v="6.4429530201342303E-2"/>
    <n v="62878.000000000007"/>
  </r>
  <r>
    <n v="202511"/>
    <d v="2025-11-01T00:00:00"/>
    <x v="3"/>
    <x v="10"/>
    <s v="November"/>
    <n v="30"/>
    <n v="720"/>
    <n v="41470312.229999997"/>
    <n v="57597.66"/>
    <n v="75635.210000000006"/>
    <n v="38420121.82"/>
    <n v="19114679.739999998"/>
    <n v="18631879.73"/>
    <n v="673562.35"/>
    <n v="49.75"/>
    <n v="101.88"/>
    <n v="4.93"/>
    <n v="373.31"/>
    <n v="0"/>
    <n v="720"/>
    <s v="2025-11"/>
    <n v="41.470312229999998"/>
    <n v="57.597660000000005"/>
    <n v="75.635210000000001"/>
    <n v="19.11467974"/>
    <n v="18.631879730000001"/>
    <n v="0.67356234999999998"/>
    <n v="0"/>
    <n v="73353.599999999991"/>
  </r>
  <r>
    <n v="202512"/>
    <d v="2025-12-01T00:00:00"/>
    <x v="3"/>
    <x v="11"/>
    <s v="December"/>
    <n v="31"/>
    <n v="744"/>
    <n v="42304479.649999999"/>
    <n v="56860.86"/>
    <n v="73852.2"/>
    <n v="39429885.490000002"/>
    <n v="21712494.609999999"/>
    <n v="16997674.640000001"/>
    <n v="719716.24"/>
    <n v="55.07"/>
    <n v="93.47"/>
    <n v="3.51"/>
    <n v="308.35000000000002"/>
    <n v="0"/>
    <n v="744"/>
    <s v="2025-12"/>
    <n v="42.304479649999998"/>
    <n v="56.860860000000002"/>
    <n v="73.852199999999996"/>
    <n v="21.71249461"/>
    <n v="16.99767464"/>
    <n v="0.71971624000000001"/>
    <n v="0"/>
    <n v="69541.67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F2C04-6E4B-4FE3-977D-BB261A12C1A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9" firstHeaderRow="1" firstDataRow="2" firstDataCol="1"/>
  <pivotFields count="29"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grid_load_twh" fld="21" baseField="2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C150AF-60F6-475E-BE67-8BA399B2D925}" autoFormatId="16" applyNumberFormats="0" applyBorderFormats="0" applyFontFormats="0" applyPatternFormats="0" applyAlignmentFormats="0" applyWidthHeightFormats="0">
  <queryTableRefresh nextId="30">
    <queryTableFields count="29">
      <queryTableField id="1" name="month_key" tableColumnId="1"/>
      <queryTableField id="2" name="month_start" tableColumnId="2"/>
      <queryTableField id="3" name="calendar_year" tableColumnId="3"/>
      <queryTableField id="4" name="month_number" tableColumnId="4"/>
      <queryTableField id="5" name="month_name" tableColumnId="5"/>
      <queryTableField id="6" name="observed_day_count" tableColumnId="6"/>
      <queryTableField id="7" name="observed_hour_count" tableColumnId="7"/>
      <queryTableField id="8" name="grid_load_mwh" tableColumnId="8"/>
      <queryTableField id="9" name="average_grid_load_mw" tableColumnId="9"/>
      <queryTableField id="10" name="peak_grid_load_mw" tableColumnId="10"/>
      <queryTableField id="11" name="reported_generation_mwh" tableColumnId="11"/>
      <queryTableField id="12" name="renewable_generation_mwh" tableColumnId="12"/>
      <queryTableField id="13" name="conventional_generation_mwh" tableColumnId="13"/>
      <queryTableField id="14" name="storage_generation_mwh" tableColumnId="14"/>
      <queryTableField id="15" name="renewable_share_of_reported_generation_percent" tableColumnId="15"/>
      <queryTableField id="16" name="average_day_ahead_price_eur_per_mwh" tableColumnId="16"/>
      <queryTableField id="17" name="minimum_day_ahead_price_eur_per_mwh" tableColumnId="17"/>
      <queryTableField id="18" name="maximum_day_ahead_price_eur_per_mwh" tableColumnId="18"/>
      <queryTableField id="19" name="negative_price_hour_count" tableColumnId="19"/>
      <queryTableField id="20" name="unavailable_generation_value_count" tableColumnId="20"/>
      <queryTableField id="21" name="year_month" tableColumnId="21"/>
      <queryTableField id="22" name="grid_load_twh" tableColumnId="22"/>
      <queryTableField id="23" name="average_grid_load_gw" tableColumnId="23"/>
      <queryTableField id="24" name="peak_grid_load_gw" tableColumnId="24"/>
      <queryTableField id="25" name="renewable_generation_twh" tableColumnId="25"/>
      <queryTableField id="26" name="conventional_generation_twh" tableColumnId="26"/>
      <queryTableField id="27" name="storage_generation_twh" tableColumnId="27"/>
      <queryTableField id="28" name="negative_price_hour_share" tableColumnId="28"/>
      <queryTableField id="29" name="price_hour_weighted_sum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77045-C634-49E5-95DA-A10A1DABADCA}" name="MonthlyEnergy" displayName="MonthlyEnergy" ref="A1:AC49" tableType="queryTable" totalsRowShown="0">
  <autoFilter ref="A1:AC49" xr:uid="{79277045-C634-49E5-95DA-A10A1DABADCA}"/>
  <tableColumns count="29">
    <tableColumn id="1" xr3:uid="{AB2B379F-6F2D-4461-B9DC-037494E1E6F1}" uniqueName="1" name="month_key" queryTableFieldId="1"/>
    <tableColumn id="2" xr3:uid="{31EC32E2-40AA-497F-9555-86C2713EE6FF}" uniqueName="2" name="month_start" queryTableFieldId="2" dataDxfId="0"/>
    <tableColumn id="3" xr3:uid="{F46B6B72-1019-41EE-9F7D-B3DE294070E2}" uniqueName="3" name="calendar_year" queryTableFieldId="3"/>
    <tableColumn id="4" xr3:uid="{24C6DDCE-7667-4BB5-AC3F-92B0DD61CC44}" uniqueName="4" name="month_number" queryTableFieldId="4"/>
    <tableColumn id="5" xr3:uid="{4B0C90CC-9FD4-490E-8BFF-F942402F49D0}" uniqueName="5" name="month_name" queryTableFieldId="5" dataDxfId="4"/>
    <tableColumn id="6" xr3:uid="{E2A19582-AF2D-4E16-817E-700D310C4CA9}" uniqueName="6" name="observed_day_count" queryTableFieldId="6"/>
    <tableColumn id="7" xr3:uid="{22EAD49F-00D2-4FBF-817C-335CEC9FC8B4}" uniqueName="7" name="observed_hour_count" queryTableFieldId="7"/>
    <tableColumn id="8" xr3:uid="{6E5F9C58-637D-4D96-B5BB-3C19C1BF8BD8}" uniqueName="8" name="grid_load_mwh" queryTableFieldId="8"/>
    <tableColumn id="9" xr3:uid="{1C2CB903-C10E-48F1-83A0-28063097C8FC}" uniqueName="9" name="average_grid_load_mw" queryTableFieldId="9"/>
    <tableColumn id="10" xr3:uid="{AC35BF46-F5DC-4085-966C-FE84D26A9E6A}" uniqueName="10" name="peak_grid_load_mw" queryTableFieldId="10"/>
    <tableColumn id="11" xr3:uid="{75B97236-82CD-49AA-A9E5-4DFE28925CAC}" uniqueName="11" name="reported_generation_mwh" queryTableFieldId="11"/>
    <tableColumn id="12" xr3:uid="{677543DF-26D8-45AF-97EA-336D5B94FC85}" uniqueName="12" name="renewable_generation_mwh" queryTableFieldId="12"/>
    <tableColumn id="13" xr3:uid="{FCB5B8B8-2411-4508-B4CE-7D8A2EE085FB}" uniqueName="13" name="conventional_generation_mwh" queryTableFieldId="13"/>
    <tableColumn id="14" xr3:uid="{C711B82B-E674-47D9-BA8F-777DE8344240}" uniqueName="14" name="storage_generation_mwh" queryTableFieldId="14"/>
    <tableColumn id="15" xr3:uid="{F1BF8A28-9BB3-47EA-96F7-281DD9D94947}" uniqueName="15" name="renewable_share_of_reported_generation_percent" queryTableFieldId="15"/>
    <tableColumn id="16" xr3:uid="{ED0D92B5-2350-43CF-BCE3-623B623A1C32}" uniqueName="16" name="average_day_ahead_price_eur_per_mwh" queryTableFieldId="16"/>
    <tableColumn id="17" xr3:uid="{EFEAF4A2-894C-4712-AA39-B7DE46C51E5F}" uniqueName="17" name="minimum_day_ahead_price_eur_per_mwh" queryTableFieldId="17"/>
    <tableColumn id="18" xr3:uid="{FD97ECF1-5EA6-43B0-A97F-8E143ED4DF5A}" uniqueName="18" name="maximum_day_ahead_price_eur_per_mwh" queryTableFieldId="18"/>
    <tableColumn id="19" xr3:uid="{01759D2D-AAEE-4986-8511-F410858555AF}" uniqueName="19" name="negative_price_hour_count" queryTableFieldId="19"/>
    <tableColumn id="20" xr3:uid="{5561A81E-469A-4EBC-AA17-9B5436057E58}" uniqueName="20" name="unavailable_generation_value_count" queryTableFieldId="20"/>
    <tableColumn id="21" xr3:uid="{2EB8FD14-55C2-4A72-8144-B91753760F29}" uniqueName="21" name="year_month" queryTableFieldId="21" dataDxfId="3"/>
    <tableColumn id="22" xr3:uid="{6F24406E-137D-47F8-A597-40BB4093753E}" uniqueName="22" name="grid_load_twh" queryTableFieldId="22"/>
    <tableColumn id="23" xr3:uid="{43428CBF-526A-49B0-91CA-AFC17B2651AF}" uniqueName="23" name="average_grid_load_gw" queryTableFieldId="23"/>
    <tableColumn id="24" xr3:uid="{FB1A768F-2288-40DA-BBA6-3CAD519BCCA1}" uniqueName="24" name="peak_grid_load_gw" queryTableFieldId="24"/>
    <tableColumn id="25" xr3:uid="{7B32F9C7-68B2-418E-81B5-85D9421B7DAB}" uniqueName="25" name="renewable_generation_twh" queryTableFieldId="25"/>
    <tableColumn id="26" xr3:uid="{F93E967B-E4F4-4EE0-8A05-3816D5B56D59}" uniqueName="26" name="conventional_generation_twh" queryTableFieldId="26"/>
    <tableColumn id="27" xr3:uid="{1E582303-833A-42A4-9270-8D9134F55B90}" uniqueName="27" name="storage_generation_twh" queryTableFieldId="27"/>
    <tableColumn id="28" xr3:uid="{586F50B9-47F1-4F62-BD11-BB74807D62FC}" uniqueName="28" name="negative_price_hour_share" queryTableFieldId="28"/>
    <tableColumn id="29" xr3:uid="{027BFD1C-F4D6-445C-ACD4-0FB38A528EDE}" uniqueName="29" name="price_hour_weighted_sum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SightParameters" displayName="GridSightParameters" ref="A7:B9" totalsRowShown="0">
  <tableColumns count="2">
    <tableColumn id="1" xr3:uid="{00000000-0010-0000-0000-000001000000}" name="Parameter"/>
    <tableColumn id="2" xr3:uid="{00000000-0010-0000-00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EnergyTable" displayName="MonthlyEnergyTable" ref="A1:AC49" totalsRowShown="0">
  <autoFilter ref="A1:AC49" xr:uid="{00000000-0009-0000-0100-000002000000}"/>
  <tableColumns count="29">
    <tableColumn id="1" xr3:uid="{00000000-0010-0000-0100-000001000000}" name="month_key"/>
    <tableColumn id="2" xr3:uid="{00000000-0010-0000-0100-000002000000}" name="month_start"/>
    <tableColumn id="3" xr3:uid="{00000000-0010-0000-0100-000003000000}" name="calendar_year"/>
    <tableColumn id="4" xr3:uid="{00000000-0010-0000-0100-000004000000}" name="month_number"/>
    <tableColumn id="5" xr3:uid="{00000000-0010-0000-0100-000005000000}" name="month_name"/>
    <tableColumn id="6" xr3:uid="{00000000-0010-0000-0100-000006000000}" name="observed_day_count"/>
    <tableColumn id="7" xr3:uid="{00000000-0010-0000-0100-000007000000}" name="observed_hour_count"/>
    <tableColumn id="8" xr3:uid="{00000000-0010-0000-0100-000008000000}" name="grid_load_mwh"/>
    <tableColumn id="9" xr3:uid="{00000000-0010-0000-0100-000009000000}" name="average_grid_load_mw"/>
    <tableColumn id="10" xr3:uid="{00000000-0010-0000-0100-00000A000000}" name="peak_grid_load_mw"/>
    <tableColumn id="11" xr3:uid="{00000000-0010-0000-0100-00000B000000}" name="reported_generation_mwh"/>
    <tableColumn id="12" xr3:uid="{00000000-0010-0000-0100-00000C000000}" name="renewable_generation_mwh"/>
    <tableColumn id="13" xr3:uid="{00000000-0010-0000-0100-00000D000000}" name="conventional_generation_mwh"/>
    <tableColumn id="14" xr3:uid="{00000000-0010-0000-0100-00000E000000}" name="storage_generation_mwh"/>
    <tableColumn id="15" xr3:uid="{00000000-0010-0000-0100-00000F000000}" name="renewable_share_of_reported_generation_percent"/>
    <tableColumn id="16" xr3:uid="{00000000-0010-0000-0100-000010000000}" name="average_day_ahead_price_eur_per_mwh"/>
    <tableColumn id="17" xr3:uid="{00000000-0010-0000-0100-000011000000}" name="minimum_day_ahead_price_eur_per_mwh"/>
    <tableColumn id="18" xr3:uid="{00000000-0010-0000-0100-000012000000}" name="maximum_day_ahead_price_eur_per_mwh"/>
    <tableColumn id="19" xr3:uid="{00000000-0010-0000-0100-000013000000}" name="negative_price_hour_count"/>
    <tableColumn id="20" xr3:uid="{00000000-0010-0000-0100-000014000000}" name="unavailable_generation_value_count"/>
    <tableColumn id="21" xr3:uid="{00000000-0010-0000-0100-000015000000}" name="year_month"/>
    <tableColumn id="22" xr3:uid="{00000000-0010-0000-0100-000016000000}" name="grid_load_twh"/>
    <tableColumn id="23" xr3:uid="{00000000-0010-0000-0100-000017000000}" name="average_grid_load_gw"/>
    <tableColumn id="24" xr3:uid="{00000000-0010-0000-0100-000018000000}" name="peak_grid_load_gw"/>
    <tableColumn id="25" xr3:uid="{00000000-0010-0000-0100-000019000000}" name="renewable_generation_twh"/>
    <tableColumn id="26" xr3:uid="{00000000-0010-0000-0100-00001A000000}" name="conventional_generation_twh"/>
    <tableColumn id="27" xr3:uid="{00000000-0010-0000-0100-00001B000000}" name="storage_generation_twh"/>
    <tableColumn id="28" xr3:uid="{00000000-0010-0000-0100-00001C000000}" name="negative_price_hour_share"/>
    <tableColumn id="29" xr3:uid="{00000000-0010-0000-0100-00001D000000}" name="price_hour_weighted_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workbookViewId="0">
      <selection sqref="A1:P2"/>
    </sheetView>
  </sheetViews>
  <sheetFormatPr defaultRowHeight="13.8"/>
  <cols>
    <col min="1" max="16" width="9" customWidth="1"/>
  </cols>
  <sheetData>
    <row r="1" spans="1:16">
      <c r="A1" s="50" t="s">
        <v>0</v>
      </c>
      <c r="B1" s="50" t="s">
        <v>0</v>
      </c>
      <c r="C1" s="50" t="s">
        <v>0</v>
      </c>
      <c r="D1" s="50" t="s">
        <v>0</v>
      </c>
      <c r="E1" s="50" t="s">
        <v>0</v>
      </c>
      <c r="F1" s="50" t="s">
        <v>0</v>
      </c>
      <c r="G1" s="50" t="s">
        <v>0</v>
      </c>
      <c r="H1" s="50" t="s">
        <v>0</v>
      </c>
      <c r="I1" s="50" t="s">
        <v>0</v>
      </c>
      <c r="J1" s="50" t="s">
        <v>0</v>
      </c>
      <c r="K1" s="50" t="s">
        <v>0</v>
      </c>
      <c r="L1" s="50" t="s">
        <v>0</v>
      </c>
      <c r="M1" s="50" t="s">
        <v>0</v>
      </c>
      <c r="N1" s="50" t="s">
        <v>0</v>
      </c>
      <c r="O1" s="50" t="s">
        <v>0</v>
      </c>
      <c r="P1" s="50" t="s">
        <v>0</v>
      </c>
    </row>
    <row r="2" spans="1:16">
      <c r="A2" s="50" t="s">
        <v>0</v>
      </c>
      <c r="B2" s="50" t="s">
        <v>0</v>
      </c>
      <c r="C2" s="50" t="s">
        <v>0</v>
      </c>
      <c r="D2" s="50" t="s">
        <v>0</v>
      </c>
      <c r="E2" s="50" t="s">
        <v>0</v>
      </c>
      <c r="F2" s="50" t="s">
        <v>0</v>
      </c>
      <c r="G2" s="50" t="s">
        <v>0</v>
      </c>
      <c r="H2" s="50" t="s">
        <v>0</v>
      </c>
      <c r="I2" s="50" t="s">
        <v>0</v>
      </c>
      <c r="J2" s="50" t="s">
        <v>0</v>
      </c>
      <c r="K2" s="50" t="s">
        <v>0</v>
      </c>
      <c r="L2" s="50" t="s">
        <v>0</v>
      </c>
      <c r="M2" s="50" t="s">
        <v>0</v>
      </c>
      <c r="N2" s="50" t="s">
        <v>0</v>
      </c>
      <c r="O2" s="50" t="s">
        <v>0</v>
      </c>
      <c r="P2" s="50" t="s">
        <v>0</v>
      </c>
    </row>
    <row r="3" spans="1:16">
      <c r="A3" s="51" t="s">
        <v>1</v>
      </c>
      <c r="B3" s="51" t="s">
        <v>1</v>
      </c>
      <c r="C3" s="51" t="s">
        <v>1</v>
      </c>
      <c r="D3" s="51" t="s">
        <v>1</v>
      </c>
      <c r="E3" s="51" t="s">
        <v>1</v>
      </c>
      <c r="F3" s="51" t="s">
        <v>1</v>
      </c>
      <c r="G3" s="51" t="s">
        <v>1</v>
      </c>
      <c r="H3" s="51" t="s">
        <v>1</v>
      </c>
      <c r="I3" s="51" t="s">
        <v>1</v>
      </c>
      <c r="J3" s="51" t="s">
        <v>1</v>
      </c>
      <c r="K3" s="51" t="s">
        <v>1</v>
      </c>
      <c r="L3" s="51" t="s">
        <v>1</v>
      </c>
      <c r="M3" s="51" t="s">
        <v>1</v>
      </c>
      <c r="N3" s="51" t="s">
        <v>1</v>
      </c>
      <c r="O3" s="51" t="s">
        <v>1</v>
      </c>
      <c r="P3" s="51" t="s">
        <v>1</v>
      </c>
    </row>
    <row r="4" spans="1:1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55" t="s">
        <v>2</v>
      </c>
      <c r="B5" s="56" t="s">
        <v>2</v>
      </c>
      <c r="C5" s="56" t="s">
        <v>2</v>
      </c>
      <c r="D5" s="57" t="s">
        <v>2</v>
      </c>
      <c r="E5" s="64" t="s">
        <v>3</v>
      </c>
      <c r="F5" s="65" t="s">
        <v>3</v>
      </c>
      <c r="G5" s="65" t="s">
        <v>3</v>
      </c>
      <c r="H5" s="66" t="s">
        <v>3</v>
      </c>
      <c r="I5" s="73" t="s">
        <v>4</v>
      </c>
      <c r="J5" s="74" t="s">
        <v>4</v>
      </c>
      <c r="K5" s="74" t="s">
        <v>4</v>
      </c>
      <c r="L5" s="75" t="s">
        <v>4</v>
      </c>
      <c r="M5" s="82" t="s">
        <v>5</v>
      </c>
      <c r="N5" s="83" t="s">
        <v>5</v>
      </c>
      <c r="O5" s="83" t="s">
        <v>5</v>
      </c>
      <c r="P5" s="84" t="s">
        <v>5</v>
      </c>
    </row>
    <row r="6" spans="1:16">
      <c r="A6" s="58">
        <f>SUM(MonthlyEnergy!$H$2:$H$49)/1000000</f>
        <v>1871.9982219600004</v>
      </c>
      <c r="B6" s="59"/>
      <c r="C6" s="59"/>
      <c r="D6" s="60"/>
      <c r="E6" s="67">
        <f>SUM(MonthlyEnergy!$H$2:$H$49)/SUM(MonthlyEnergy!$G$2:$G$49)/1000</f>
        <v>53.388039640657091</v>
      </c>
      <c r="F6" s="68"/>
      <c r="G6" s="68"/>
      <c r="H6" s="69"/>
      <c r="I6" s="76">
        <f>SUM(MonthlyEnergy!$L$2:$L$49)/SUM(MonthlyEnergy!$K$2:$K$49)</f>
        <v>0.54608047909381097</v>
      </c>
      <c r="J6" s="77"/>
      <c r="K6" s="77"/>
      <c r="L6" s="78"/>
      <c r="M6" s="85">
        <f>SUM(MonthlyEnergy!$AC$2:$AC$49)/SUM(MonthlyEnergy!$G$2:$G$49)</f>
        <v>124.58290782569017</v>
      </c>
      <c r="N6" s="86"/>
      <c r="O6" s="86"/>
      <c r="P6" s="87"/>
    </row>
    <row r="7" spans="1:16">
      <c r="A7" s="58"/>
      <c r="B7" s="59"/>
      <c r="C7" s="59"/>
      <c r="D7" s="60"/>
      <c r="E7" s="67"/>
      <c r="F7" s="68"/>
      <c r="G7" s="68"/>
      <c r="H7" s="69"/>
      <c r="I7" s="76"/>
      <c r="J7" s="77"/>
      <c r="K7" s="77"/>
      <c r="L7" s="78"/>
      <c r="M7" s="85"/>
      <c r="N7" s="86"/>
      <c r="O7" s="86"/>
      <c r="P7" s="87"/>
    </row>
    <row r="8" spans="1:16">
      <c r="A8" s="61"/>
      <c r="B8" s="62"/>
      <c r="C8" s="62"/>
      <c r="D8" s="63"/>
      <c r="E8" s="70"/>
      <c r="F8" s="71"/>
      <c r="G8" s="71"/>
      <c r="H8" s="72"/>
      <c r="I8" s="79"/>
      <c r="J8" s="80"/>
      <c r="K8" s="80"/>
      <c r="L8" s="81"/>
      <c r="M8" s="88"/>
      <c r="N8" s="89"/>
      <c r="O8" s="89"/>
      <c r="P8" s="90"/>
    </row>
    <row r="9" spans="1:1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55" t="s">
        <v>6</v>
      </c>
      <c r="B10" s="56" t="s">
        <v>6</v>
      </c>
      <c r="C10" s="56" t="s">
        <v>6</v>
      </c>
      <c r="D10" s="57" t="s">
        <v>6</v>
      </c>
      <c r="E10" s="82" t="s">
        <v>7</v>
      </c>
      <c r="F10" s="83" t="s">
        <v>7</v>
      </c>
      <c r="G10" s="83" t="s">
        <v>7</v>
      </c>
      <c r="H10" s="84" t="s">
        <v>7</v>
      </c>
      <c r="I10" s="82" t="s">
        <v>8</v>
      </c>
      <c r="J10" s="83" t="s">
        <v>8</v>
      </c>
      <c r="K10" s="83" t="s">
        <v>8</v>
      </c>
      <c r="L10" s="84" t="s">
        <v>8</v>
      </c>
      <c r="M10" s="92" t="s">
        <v>9</v>
      </c>
      <c r="N10" s="93" t="s">
        <v>9</v>
      </c>
      <c r="O10" s="93" t="s">
        <v>9</v>
      </c>
      <c r="P10" s="94" t="s">
        <v>9</v>
      </c>
    </row>
    <row r="11" spans="1:16">
      <c r="A11" s="101">
        <f>MAX(MonthlyEnergy!$J$2:$J$49)/1000</f>
        <v>78.680499999999995</v>
      </c>
      <c r="B11" s="102"/>
      <c r="C11" s="102"/>
      <c r="D11" s="103"/>
      <c r="E11" s="107">
        <f>SUM(MonthlyEnergy!$S$2:$S$49)</f>
        <v>1400</v>
      </c>
      <c r="F11" s="108"/>
      <c r="G11" s="108"/>
      <c r="H11" s="109"/>
      <c r="I11" s="113">
        <f>SUM(MonthlyEnergy!$S$2:$S$49)/SUM(MonthlyEnergy!$G$2:$G$49)</f>
        <v>3.992699064567648E-2</v>
      </c>
      <c r="J11" s="114"/>
      <c r="K11" s="114"/>
      <c r="L11" s="115"/>
      <c r="M11" s="95">
        <f>SUM(MonthlyEnergy!$T$2:$T$49)</f>
        <v>16836</v>
      </c>
      <c r="N11" s="96"/>
      <c r="O11" s="96"/>
      <c r="P11" s="97"/>
    </row>
    <row r="12" spans="1:16">
      <c r="A12" s="101"/>
      <c r="B12" s="102"/>
      <c r="C12" s="102"/>
      <c r="D12" s="103"/>
      <c r="E12" s="107"/>
      <c r="F12" s="108"/>
      <c r="G12" s="108"/>
      <c r="H12" s="109"/>
      <c r="I12" s="113"/>
      <c r="J12" s="114"/>
      <c r="K12" s="114"/>
      <c r="L12" s="115"/>
      <c r="M12" s="95"/>
      <c r="N12" s="96"/>
      <c r="O12" s="96"/>
      <c r="P12" s="97"/>
    </row>
    <row r="13" spans="1:16">
      <c r="A13" s="104"/>
      <c r="B13" s="105"/>
      <c r="C13" s="105"/>
      <c r="D13" s="106"/>
      <c r="E13" s="110"/>
      <c r="F13" s="111"/>
      <c r="G13" s="111"/>
      <c r="H13" s="112"/>
      <c r="I13" s="116"/>
      <c r="J13" s="117"/>
      <c r="K13" s="117"/>
      <c r="L13" s="118"/>
      <c r="M13" s="98"/>
      <c r="N13" s="99"/>
      <c r="O13" s="99"/>
      <c r="P13" s="100"/>
    </row>
    <row r="14" spans="1:1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4">
      <c r="A33" s="52" t="s">
        <v>10</v>
      </c>
      <c r="B33" s="52" t="s">
        <v>10</v>
      </c>
      <c r="C33" s="52" t="s">
        <v>10</v>
      </c>
      <c r="D33" s="52" t="s">
        <v>10</v>
      </c>
      <c r="E33" s="52" t="s">
        <v>10</v>
      </c>
      <c r="F33" s="52" t="s">
        <v>10</v>
      </c>
      <c r="G33" s="52" t="s">
        <v>10</v>
      </c>
      <c r="H33" s="52" t="s">
        <v>10</v>
      </c>
      <c r="I33" s="52" t="s">
        <v>10</v>
      </c>
      <c r="J33" s="52" t="s">
        <v>10</v>
      </c>
      <c r="K33" s="52" t="s">
        <v>10</v>
      </c>
      <c r="L33" s="52" t="s">
        <v>10</v>
      </c>
      <c r="M33" s="52" t="s">
        <v>10</v>
      </c>
      <c r="N33" s="52" t="s">
        <v>10</v>
      </c>
      <c r="O33" s="52" t="s">
        <v>10</v>
      </c>
      <c r="P33" s="52" t="s">
        <v>10</v>
      </c>
    </row>
    <row r="34" spans="1:16" ht="14.4">
      <c r="A34" s="54" t="s">
        <v>11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</row>
    <row r="35" spans="1:16" ht="14.4">
      <c r="A35" s="54" t="s">
        <v>12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</row>
    <row r="36" spans="1:16" ht="14.4">
      <c r="A36" s="54" t="s">
        <v>13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spans="1:16" ht="14.4">
      <c r="A37" s="54" t="s">
        <v>14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spans="1:1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91" t="s">
        <v>15</v>
      </c>
      <c r="B39" s="91" t="s">
        <v>15</v>
      </c>
      <c r="C39" s="91" t="s">
        <v>15</v>
      </c>
      <c r="D39" s="91" t="s">
        <v>15</v>
      </c>
      <c r="E39" s="91" t="s">
        <v>15</v>
      </c>
      <c r="F39" s="91" t="s">
        <v>15</v>
      </c>
      <c r="G39" s="91" t="s">
        <v>15</v>
      </c>
      <c r="H39" s="91" t="s">
        <v>15</v>
      </c>
      <c r="I39" s="91" t="s">
        <v>15</v>
      </c>
      <c r="J39" s="91" t="s">
        <v>15</v>
      </c>
      <c r="K39" s="91" t="s">
        <v>15</v>
      </c>
      <c r="L39" s="91" t="s">
        <v>15</v>
      </c>
      <c r="M39" s="91" t="s">
        <v>15</v>
      </c>
      <c r="N39" s="91" t="s">
        <v>15</v>
      </c>
      <c r="O39" s="91" t="s">
        <v>15</v>
      </c>
      <c r="P39" s="91" t="s">
        <v>15</v>
      </c>
    </row>
  </sheetData>
  <mergeCells count="24">
    <mergeCell ref="A36:P36"/>
    <mergeCell ref="A37:P37"/>
    <mergeCell ref="A39:P39"/>
    <mergeCell ref="M10:P10"/>
    <mergeCell ref="M11:P13"/>
    <mergeCell ref="A33:P33"/>
    <mergeCell ref="A34:P34"/>
    <mergeCell ref="A35:P35"/>
    <mergeCell ref="A10:D10"/>
    <mergeCell ref="A11:D13"/>
    <mergeCell ref="E10:H10"/>
    <mergeCell ref="E11:H13"/>
    <mergeCell ref="I10:L10"/>
    <mergeCell ref="I11:L13"/>
    <mergeCell ref="A1:P2"/>
    <mergeCell ref="A3:P3"/>
    <mergeCell ref="A5:D5"/>
    <mergeCell ref="A6:D8"/>
    <mergeCell ref="E5:H5"/>
    <mergeCell ref="E6:H8"/>
    <mergeCell ref="I5:L5"/>
    <mergeCell ref="I6:L8"/>
    <mergeCell ref="M5:P5"/>
    <mergeCell ref="M6:P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F832-F826-4757-A9D0-130F044C050D}">
  <dimension ref="A1:AC49"/>
  <sheetViews>
    <sheetView workbookViewId="0"/>
  </sheetViews>
  <sheetFormatPr defaultRowHeight="13.8"/>
  <cols>
    <col min="1" max="1" width="12.69921875" bestFit="1" customWidth="1"/>
    <col min="2" max="2" width="13.3984375" bestFit="1" customWidth="1"/>
    <col min="3" max="3" width="15.3984375" bestFit="1" customWidth="1"/>
    <col min="4" max="4" width="16.3984375" bestFit="1" customWidth="1"/>
    <col min="5" max="5" width="14.3984375" bestFit="1" customWidth="1"/>
    <col min="6" max="6" width="21.5" bestFit="1" customWidth="1"/>
    <col min="7" max="7" width="22.296875" bestFit="1" customWidth="1"/>
    <col min="8" max="8" width="16.3984375" bestFit="1" customWidth="1"/>
    <col min="9" max="9" width="23.59765625" bestFit="1" customWidth="1"/>
    <col min="10" max="10" width="20.59765625" bestFit="1" customWidth="1"/>
    <col min="11" max="11" width="26.3984375" bestFit="1" customWidth="1"/>
    <col min="12" max="12" width="28.19921875" bestFit="1" customWidth="1"/>
    <col min="13" max="13" width="30.296875" bestFit="1" customWidth="1"/>
    <col min="14" max="14" width="25.5" bestFit="1" customWidth="1"/>
    <col min="15" max="15" width="48.19921875" bestFit="1" customWidth="1"/>
    <col min="16" max="16" width="39.69921875" bestFit="1" customWidth="1"/>
    <col min="17" max="17" width="40.8984375" bestFit="1" customWidth="1"/>
    <col min="18" max="18" width="41.3984375" bestFit="1" customWidth="1"/>
    <col min="19" max="19" width="27.09765625" bestFit="1" customWidth="1"/>
    <col min="20" max="20" width="35.59765625" bestFit="1" customWidth="1"/>
    <col min="21" max="21" width="13.3984375" bestFit="1" customWidth="1"/>
    <col min="22" max="22" width="15.296875" bestFit="1" customWidth="1"/>
    <col min="23" max="23" width="22.8984375" bestFit="1" customWidth="1"/>
    <col min="24" max="24" width="20" bestFit="1" customWidth="1"/>
    <col min="25" max="25" width="27" bestFit="1" customWidth="1"/>
    <col min="26" max="26" width="29.19921875" bestFit="1" customWidth="1"/>
    <col min="27" max="27" width="24.3984375" bestFit="1" customWidth="1"/>
    <col min="28" max="28" width="27.09765625" bestFit="1" customWidth="1"/>
    <col min="29" max="29" width="26.5" bestFit="1" customWidth="1"/>
  </cols>
  <sheetData>
    <row r="1" spans="1:29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</row>
    <row r="2" spans="1:29">
      <c r="A2">
        <v>202201</v>
      </c>
      <c r="B2" s="46">
        <v>44562</v>
      </c>
      <c r="C2">
        <v>2022</v>
      </c>
      <c r="D2">
        <v>1</v>
      </c>
      <c r="E2" t="s">
        <v>75</v>
      </c>
      <c r="F2">
        <v>31</v>
      </c>
      <c r="G2">
        <v>744</v>
      </c>
      <c r="H2">
        <v>46287079</v>
      </c>
      <c r="I2">
        <v>62213.82</v>
      </c>
      <c r="J2">
        <v>78152.25</v>
      </c>
      <c r="K2">
        <v>48398976.75</v>
      </c>
      <c r="L2">
        <v>21504007.5</v>
      </c>
      <c r="M2">
        <v>26075881.5</v>
      </c>
      <c r="N2">
        <v>819087.75</v>
      </c>
      <c r="O2">
        <v>44.43</v>
      </c>
      <c r="P2">
        <v>167.73</v>
      </c>
      <c r="Q2">
        <v>-1.05</v>
      </c>
      <c r="R2">
        <v>399.85</v>
      </c>
      <c r="S2">
        <v>4</v>
      </c>
      <c r="T2">
        <v>0</v>
      </c>
      <c r="U2" t="s">
        <v>228</v>
      </c>
      <c r="V2">
        <v>46.287078999999999</v>
      </c>
      <c r="W2">
        <v>62.213819999999998</v>
      </c>
      <c r="X2">
        <v>78.152249999999995</v>
      </c>
      <c r="Y2">
        <v>21.5040075</v>
      </c>
      <c r="Z2">
        <v>26.075881500000001</v>
      </c>
      <c r="AA2">
        <v>0.81908775</v>
      </c>
      <c r="AB2">
        <v>5.3763440860215101E-3</v>
      </c>
      <c r="AC2">
        <v>124791.12</v>
      </c>
    </row>
    <row r="3" spans="1:29">
      <c r="A3">
        <v>202202</v>
      </c>
      <c r="B3" s="46">
        <v>44593</v>
      </c>
      <c r="C3">
        <v>2022</v>
      </c>
      <c r="D3">
        <v>2</v>
      </c>
      <c r="E3" t="s">
        <v>76</v>
      </c>
      <c r="F3">
        <v>28</v>
      </c>
      <c r="G3">
        <v>672</v>
      </c>
      <c r="H3">
        <v>42317899</v>
      </c>
      <c r="I3">
        <v>62973.06</v>
      </c>
      <c r="J3">
        <v>78680.5</v>
      </c>
      <c r="K3">
        <v>46915026.25</v>
      </c>
      <c r="L3">
        <v>26781675.25</v>
      </c>
      <c r="M3">
        <v>19446324.25</v>
      </c>
      <c r="N3">
        <v>687026.75</v>
      </c>
      <c r="O3">
        <v>57.09</v>
      </c>
      <c r="P3">
        <v>128.80000000000001</v>
      </c>
      <c r="Q3">
        <v>-0.52</v>
      </c>
      <c r="R3">
        <v>322.89999999999998</v>
      </c>
      <c r="S3">
        <v>4</v>
      </c>
      <c r="T3">
        <v>0</v>
      </c>
      <c r="U3" t="s">
        <v>229</v>
      </c>
      <c r="V3">
        <v>42.317898999999997</v>
      </c>
      <c r="W3">
        <v>62.973059999999997</v>
      </c>
      <c r="X3">
        <v>78.680499999999995</v>
      </c>
      <c r="Y3">
        <v>26.781675249999999</v>
      </c>
      <c r="Z3">
        <v>19.44632425</v>
      </c>
      <c r="AA3">
        <v>0.68702675000000002</v>
      </c>
      <c r="AB3">
        <v>5.9523809523809503E-3</v>
      </c>
      <c r="AC3">
        <v>86553.600000000006</v>
      </c>
    </row>
    <row r="4" spans="1:29">
      <c r="A4">
        <v>202203</v>
      </c>
      <c r="B4" s="46">
        <v>44621</v>
      </c>
      <c r="C4">
        <v>2022</v>
      </c>
      <c r="D4">
        <v>3</v>
      </c>
      <c r="E4" t="s">
        <v>77</v>
      </c>
      <c r="F4">
        <v>31</v>
      </c>
      <c r="G4">
        <v>743</v>
      </c>
      <c r="H4">
        <v>43923259.5</v>
      </c>
      <c r="I4">
        <v>59116.1</v>
      </c>
      <c r="J4">
        <v>71826</v>
      </c>
      <c r="K4">
        <v>45576779.25</v>
      </c>
      <c r="L4">
        <v>18129298</v>
      </c>
      <c r="M4">
        <v>26676979.75</v>
      </c>
      <c r="N4">
        <v>770501.5</v>
      </c>
      <c r="O4">
        <v>39.78</v>
      </c>
      <c r="P4">
        <v>252.01</v>
      </c>
      <c r="Q4">
        <v>-19.04</v>
      </c>
      <c r="R4">
        <v>700</v>
      </c>
      <c r="S4">
        <v>6</v>
      </c>
      <c r="T4">
        <v>0</v>
      </c>
      <c r="U4" t="s">
        <v>230</v>
      </c>
      <c r="V4">
        <v>43.9232595</v>
      </c>
      <c r="W4">
        <v>59.116099999999996</v>
      </c>
      <c r="X4">
        <v>71.825999999999993</v>
      </c>
      <c r="Y4">
        <v>18.129297999999999</v>
      </c>
      <c r="Z4">
        <v>26.676979750000001</v>
      </c>
      <c r="AA4">
        <v>0.77050149999999995</v>
      </c>
      <c r="AB4">
        <v>8.0753701211305502E-3</v>
      </c>
      <c r="AC4">
        <v>187243.43</v>
      </c>
    </row>
    <row r="5" spans="1:29">
      <c r="A5">
        <v>202204</v>
      </c>
      <c r="B5" s="46">
        <v>44652</v>
      </c>
      <c r="C5">
        <v>2022</v>
      </c>
      <c r="D5">
        <v>4</v>
      </c>
      <c r="E5" t="s">
        <v>78</v>
      </c>
      <c r="F5">
        <v>30</v>
      </c>
      <c r="G5">
        <v>720</v>
      </c>
      <c r="H5">
        <v>40131877.25</v>
      </c>
      <c r="I5">
        <v>55738.720000000001</v>
      </c>
      <c r="J5">
        <v>75903.5</v>
      </c>
      <c r="K5">
        <v>42519756.5</v>
      </c>
      <c r="L5">
        <v>21451593.75</v>
      </c>
      <c r="M5">
        <v>20342486</v>
      </c>
      <c r="N5">
        <v>725676.75</v>
      </c>
      <c r="O5">
        <v>50.45</v>
      </c>
      <c r="P5">
        <v>165.73</v>
      </c>
      <c r="Q5">
        <v>-2.4900000000000002</v>
      </c>
      <c r="R5">
        <v>309.93</v>
      </c>
      <c r="S5">
        <v>5</v>
      </c>
      <c r="T5">
        <v>0</v>
      </c>
      <c r="U5" t="s">
        <v>231</v>
      </c>
      <c r="V5">
        <v>40.131877250000002</v>
      </c>
      <c r="W5">
        <v>55.738720000000001</v>
      </c>
      <c r="X5">
        <v>75.903499999999994</v>
      </c>
      <c r="Y5">
        <v>21.451593750000001</v>
      </c>
      <c r="Z5">
        <v>20.342486000000001</v>
      </c>
      <c r="AA5">
        <v>0.72567674999999998</v>
      </c>
      <c r="AB5">
        <v>6.9444444444444397E-3</v>
      </c>
      <c r="AC5">
        <v>119325.59999999999</v>
      </c>
    </row>
    <row r="6" spans="1:29">
      <c r="A6">
        <v>202205</v>
      </c>
      <c r="B6" s="46">
        <v>44682</v>
      </c>
      <c r="C6">
        <v>2022</v>
      </c>
      <c r="D6">
        <v>5</v>
      </c>
      <c r="E6" t="s">
        <v>79</v>
      </c>
      <c r="F6">
        <v>31</v>
      </c>
      <c r="G6">
        <v>744</v>
      </c>
      <c r="H6">
        <v>39880332.5</v>
      </c>
      <c r="I6">
        <v>53602.6</v>
      </c>
      <c r="J6">
        <v>69070</v>
      </c>
      <c r="K6">
        <v>38125370.25</v>
      </c>
      <c r="L6">
        <v>20089724.25</v>
      </c>
      <c r="M6">
        <v>17284558.5</v>
      </c>
      <c r="N6">
        <v>751087.5</v>
      </c>
      <c r="O6">
        <v>52.69</v>
      </c>
      <c r="P6">
        <v>177.48</v>
      </c>
      <c r="Q6">
        <v>-13.85</v>
      </c>
      <c r="R6">
        <v>298.20999999999998</v>
      </c>
      <c r="S6">
        <v>16</v>
      </c>
      <c r="T6">
        <v>0</v>
      </c>
      <c r="U6" t="s">
        <v>232</v>
      </c>
      <c r="V6">
        <v>39.880332500000002</v>
      </c>
      <c r="W6">
        <v>53.602599999999995</v>
      </c>
      <c r="X6">
        <v>69.069999999999993</v>
      </c>
      <c r="Y6">
        <v>20.08972425</v>
      </c>
      <c r="Z6">
        <v>17.284558499999999</v>
      </c>
      <c r="AA6">
        <v>0.75108750000000002</v>
      </c>
      <c r="AB6">
        <v>2.1505376344085999E-2</v>
      </c>
      <c r="AC6">
        <v>132045.12</v>
      </c>
    </row>
    <row r="7" spans="1:29">
      <c r="A7">
        <v>202206</v>
      </c>
      <c r="B7" s="46">
        <v>44713</v>
      </c>
      <c r="C7">
        <v>2022</v>
      </c>
      <c r="D7">
        <v>6</v>
      </c>
      <c r="E7" t="s">
        <v>80</v>
      </c>
      <c r="F7">
        <v>30</v>
      </c>
      <c r="G7">
        <v>720</v>
      </c>
      <c r="H7">
        <v>37360445</v>
      </c>
      <c r="I7">
        <v>51889.51</v>
      </c>
      <c r="J7">
        <v>65747.25</v>
      </c>
      <c r="K7">
        <v>36809854.5</v>
      </c>
      <c r="L7">
        <v>17997421.75</v>
      </c>
      <c r="M7">
        <v>17983193.5</v>
      </c>
      <c r="N7">
        <v>829239.25</v>
      </c>
      <c r="O7">
        <v>48.89</v>
      </c>
      <c r="P7">
        <v>218.03</v>
      </c>
      <c r="Q7">
        <v>-0.59</v>
      </c>
      <c r="R7">
        <v>500</v>
      </c>
      <c r="S7">
        <v>3</v>
      </c>
      <c r="T7">
        <v>0</v>
      </c>
      <c r="U7" t="s">
        <v>233</v>
      </c>
      <c r="V7">
        <v>37.360444999999999</v>
      </c>
      <c r="W7">
        <v>51.889510000000001</v>
      </c>
      <c r="X7">
        <v>65.747249999999994</v>
      </c>
      <c r="Y7">
        <v>17.997421750000001</v>
      </c>
      <c r="Z7">
        <v>17.983193499999999</v>
      </c>
      <c r="AA7">
        <v>0.82923924999999998</v>
      </c>
      <c r="AB7">
        <v>4.1666666666666701E-3</v>
      </c>
      <c r="AC7">
        <v>156981.6</v>
      </c>
    </row>
    <row r="8" spans="1:29">
      <c r="A8">
        <v>202207</v>
      </c>
      <c r="B8" s="46">
        <v>44743</v>
      </c>
      <c r="C8">
        <v>2022</v>
      </c>
      <c r="D8">
        <v>7</v>
      </c>
      <c r="E8" t="s">
        <v>81</v>
      </c>
      <c r="F8">
        <v>31</v>
      </c>
      <c r="G8">
        <v>744</v>
      </c>
      <c r="H8">
        <v>38359781.75</v>
      </c>
      <c r="I8">
        <v>51558.85</v>
      </c>
      <c r="J8">
        <v>67201.5</v>
      </c>
      <c r="K8">
        <v>41808608</v>
      </c>
      <c r="L8">
        <v>19401326.25</v>
      </c>
      <c r="M8">
        <v>21458211</v>
      </c>
      <c r="N8">
        <v>949070.75</v>
      </c>
      <c r="O8">
        <v>46.41</v>
      </c>
      <c r="P8">
        <v>315</v>
      </c>
      <c r="Q8">
        <v>-0.1</v>
      </c>
      <c r="R8">
        <v>679.54</v>
      </c>
      <c r="S8">
        <v>2</v>
      </c>
      <c r="T8">
        <v>0</v>
      </c>
      <c r="U8" t="s">
        <v>234</v>
      </c>
      <c r="V8">
        <v>38.359781750000003</v>
      </c>
      <c r="W8">
        <v>51.55885</v>
      </c>
      <c r="X8">
        <v>67.201499999999996</v>
      </c>
      <c r="Y8">
        <v>19.40132625</v>
      </c>
      <c r="Z8">
        <v>21.458210999999999</v>
      </c>
      <c r="AA8">
        <v>0.94907074999999996</v>
      </c>
      <c r="AB8">
        <v>2.6881720430107499E-3</v>
      </c>
      <c r="AC8">
        <v>234360</v>
      </c>
    </row>
    <row r="9" spans="1:29">
      <c r="A9">
        <v>202208</v>
      </c>
      <c r="B9" s="46">
        <v>44774</v>
      </c>
      <c r="C9">
        <v>2022</v>
      </c>
      <c r="D9">
        <v>8</v>
      </c>
      <c r="E9" t="s">
        <v>82</v>
      </c>
      <c r="F9">
        <v>31</v>
      </c>
      <c r="G9">
        <v>744</v>
      </c>
      <c r="H9">
        <v>37448427</v>
      </c>
      <c r="I9">
        <v>50333.91</v>
      </c>
      <c r="J9">
        <v>64180</v>
      </c>
      <c r="K9">
        <v>37772540.5</v>
      </c>
      <c r="L9">
        <v>16011791.5</v>
      </c>
      <c r="M9">
        <v>20966857.25</v>
      </c>
      <c r="N9">
        <v>793891.75</v>
      </c>
      <c r="O9">
        <v>42.39</v>
      </c>
      <c r="P9">
        <v>465.18</v>
      </c>
      <c r="Q9">
        <v>13.29</v>
      </c>
      <c r="R9">
        <v>871</v>
      </c>
      <c r="S9">
        <v>0</v>
      </c>
      <c r="T9">
        <v>0</v>
      </c>
      <c r="U9" t="s">
        <v>235</v>
      </c>
      <c r="V9">
        <v>37.448427000000002</v>
      </c>
      <c r="W9">
        <v>50.333910000000003</v>
      </c>
      <c r="X9">
        <v>64.180000000000007</v>
      </c>
      <c r="Y9">
        <v>16.011791500000001</v>
      </c>
      <c r="Z9">
        <v>20.96685725</v>
      </c>
      <c r="AA9">
        <v>0.79389175000000001</v>
      </c>
      <c r="AB9">
        <v>0</v>
      </c>
      <c r="AC9">
        <v>346093.92</v>
      </c>
    </row>
    <row r="10" spans="1:29">
      <c r="A10">
        <v>202209</v>
      </c>
      <c r="B10" s="46">
        <v>44805</v>
      </c>
      <c r="C10">
        <v>2022</v>
      </c>
      <c r="D10">
        <v>9</v>
      </c>
      <c r="E10" t="s">
        <v>83</v>
      </c>
      <c r="F10">
        <v>30</v>
      </c>
      <c r="G10">
        <v>720</v>
      </c>
      <c r="H10">
        <v>37354092.25</v>
      </c>
      <c r="I10">
        <v>51880.68</v>
      </c>
      <c r="J10">
        <v>66091.5</v>
      </c>
      <c r="K10">
        <v>38543340.75</v>
      </c>
      <c r="L10">
        <v>17020270.5</v>
      </c>
      <c r="M10">
        <v>20676817.5</v>
      </c>
      <c r="N10">
        <v>846252.75</v>
      </c>
      <c r="O10">
        <v>44.16</v>
      </c>
      <c r="P10">
        <v>346.12</v>
      </c>
      <c r="Q10">
        <v>2</v>
      </c>
      <c r="R10">
        <v>729.9</v>
      </c>
      <c r="S10">
        <v>0</v>
      </c>
      <c r="T10">
        <v>0</v>
      </c>
      <c r="U10" t="s">
        <v>236</v>
      </c>
      <c r="V10">
        <v>37.354092250000001</v>
      </c>
      <c r="W10">
        <v>51.880679999999998</v>
      </c>
      <c r="X10">
        <v>66.091499999999996</v>
      </c>
      <c r="Y10">
        <v>17.020270499999999</v>
      </c>
      <c r="Z10">
        <v>20.676817499999999</v>
      </c>
      <c r="AA10">
        <v>0.84625275</v>
      </c>
      <c r="AB10">
        <v>0</v>
      </c>
      <c r="AC10">
        <v>249206.39999999999</v>
      </c>
    </row>
    <row r="11" spans="1:29">
      <c r="A11">
        <v>202210</v>
      </c>
      <c r="B11" s="46">
        <v>44835</v>
      </c>
      <c r="C11">
        <v>2022</v>
      </c>
      <c r="D11">
        <v>10</v>
      </c>
      <c r="E11" t="s">
        <v>84</v>
      </c>
      <c r="F11">
        <v>31</v>
      </c>
      <c r="G11">
        <v>745</v>
      </c>
      <c r="H11">
        <v>38545247</v>
      </c>
      <c r="I11">
        <v>51738.59</v>
      </c>
      <c r="J11">
        <v>65808.75</v>
      </c>
      <c r="K11">
        <v>38569945.25</v>
      </c>
      <c r="L11">
        <v>19055695</v>
      </c>
      <c r="M11">
        <v>18557773.5</v>
      </c>
      <c r="N11">
        <v>956476.75</v>
      </c>
      <c r="O11">
        <v>49.41</v>
      </c>
      <c r="P11">
        <v>152.6</v>
      </c>
      <c r="Q11">
        <v>0.1</v>
      </c>
      <c r="R11">
        <v>497.39</v>
      </c>
      <c r="S11">
        <v>0</v>
      </c>
      <c r="T11">
        <v>0</v>
      </c>
      <c r="U11" t="s">
        <v>237</v>
      </c>
      <c r="V11">
        <v>38.545247000000003</v>
      </c>
      <c r="W11">
        <v>51.738589999999995</v>
      </c>
      <c r="X11">
        <v>65.808750000000003</v>
      </c>
      <c r="Y11">
        <v>19.055695</v>
      </c>
      <c r="Z11">
        <v>18.5577735</v>
      </c>
      <c r="AA11">
        <v>0.95647674999999999</v>
      </c>
      <c r="AB11">
        <v>0</v>
      </c>
      <c r="AC11">
        <v>113687</v>
      </c>
    </row>
    <row r="12" spans="1:29">
      <c r="A12">
        <v>202211</v>
      </c>
      <c r="B12" s="46">
        <v>44866</v>
      </c>
      <c r="C12">
        <v>2022</v>
      </c>
      <c r="D12">
        <v>11</v>
      </c>
      <c r="E12" t="s">
        <v>85</v>
      </c>
      <c r="F12">
        <v>30</v>
      </c>
      <c r="G12">
        <v>720</v>
      </c>
      <c r="H12">
        <v>39774611.25</v>
      </c>
      <c r="I12">
        <v>55242.52</v>
      </c>
      <c r="J12">
        <v>69343.75</v>
      </c>
      <c r="K12">
        <v>41997885.75</v>
      </c>
      <c r="L12">
        <v>18813025.5</v>
      </c>
      <c r="M12">
        <v>22183391.5</v>
      </c>
      <c r="N12">
        <v>1001468.75</v>
      </c>
      <c r="O12">
        <v>44.8</v>
      </c>
      <c r="P12">
        <v>173.63</v>
      </c>
      <c r="Q12">
        <v>0.09</v>
      </c>
      <c r="R12">
        <v>503.55</v>
      </c>
      <c r="S12">
        <v>0</v>
      </c>
      <c r="T12">
        <v>0</v>
      </c>
      <c r="U12" t="s">
        <v>238</v>
      </c>
      <c r="V12">
        <v>39.77461125</v>
      </c>
      <c r="W12">
        <v>55.242519999999999</v>
      </c>
      <c r="X12">
        <v>69.34375</v>
      </c>
      <c r="Y12">
        <v>18.813025499999998</v>
      </c>
      <c r="Z12">
        <v>22.183391499999999</v>
      </c>
      <c r="AA12">
        <v>1.0014687499999999</v>
      </c>
      <c r="AB12">
        <v>0</v>
      </c>
      <c r="AC12">
        <v>125013.59999999999</v>
      </c>
    </row>
    <row r="13" spans="1:29">
      <c r="A13">
        <v>202212</v>
      </c>
      <c r="B13" s="46">
        <v>44896</v>
      </c>
      <c r="C13">
        <v>2022</v>
      </c>
      <c r="D13">
        <v>12</v>
      </c>
      <c r="E13" t="s">
        <v>86</v>
      </c>
      <c r="F13">
        <v>31</v>
      </c>
      <c r="G13">
        <v>744</v>
      </c>
      <c r="H13">
        <v>40912897.25</v>
      </c>
      <c r="I13">
        <v>54990.45</v>
      </c>
      <c r="J13">
        <v>71538</v>
      </c>
      <c r="K13">
        <v>42943392</v>
      </c>
      <c r="L13">
        <v>17038085.75</v>
      </c>
      <c r="M13">
        <v>24881263</v>
      </c>
      <c r="N13">
        <v>1024043.25</v>
      </c>
      <c r="O13">
        <v>39.68</v>
      </c>
      <c r="P13">
        <v>251.62</v>
      </c>
      <c r="Q13">
        <v>-3.78</v>
      </c>
      <c r="R13">
        <v>665.01</v>
      </c>
      <c r="S13">
        <v>29</v>
      </c>
      <c r="T13">
        <v>0</v>
      </c>
      <c r="U13" t="s">
        <v>239</v>
      </c>
      <c r="V13">
        <v>40.91289725</v>
      </c>
      <c r="W13">
        <v>54.990449999999996</v>
      </c>
      <c r="X13">
        <v>71.537999999999997</v>
      </c>
      <c r="Y13">
        <v>17.03808575</v>
      </c>
      <c r="Z13">
        <v>24.881263000000001</v>
      </c>
      <c r="AA13">
        <v>1.0240432500000001</v>
      </c>
      <c r="AB13">
        <v>3.89784946236559E-2</v>
      </c>
      <c r="AC13">
        <v>187205.28</v>
      </c>
    </row>
    <row r="14" spans="1:29">
      <c r="A14">
        <v>202301</v>
      </c>
      <c r="B14" s="46">
        <v>44927</v>
      </c>
      <c r="C14">
        <v>2023</v>
      </c>
      <c r="D14">
        <v>1</v>
      </c>
      <c r="E14" t="s">
        <v>75</v>
      </c>
      <c r="F14">
        <v>31</v>
      </c>
      <c r="G14">
        <v>744</v>
      </c>
      <c r="H14">
        <v>42152953.75</v>
      </c>
      <c r="I14">
        <v>56657.2</v>
      </c>
      <c r="J14">
        <v>71710.25</v>
      </c>
      <c r="K14">
        <v>44562883.75</v>
      </c>
      <c r="L14">
        <v>22711835.5</v>
      </c>
      <c r="M14">
        <v>20880941.75</v>
      </c>
      <c r="N14">
        <v>970106.5</v>
      </c>
      <c r="O14">
        <v>50.97</v>
      </c>
      <c r="P14">
        <v>117.83</v>
      </c>
      <c r="Q14">
        <v>-5.4</v>
      </c>
      <c r="R14">
        <v>270.22000000000003</v>
      </c>
      <c r="S14">
        <v>14</v>
      </c>
      <c r="T14">
        <v>0</v>
      </c>
      <c r="U14" t="s">
        <v>240</v>
      </c>
      <c r="V14">
        <v>42.152953750000002</v>
      </c>
      <c r="W14">
        <v>56.657199999999996</v>
      </c>
      <c r="X14">
        <v>71.710250000000002</v>
      </c>
      <c r="Y14">
        <v>22.711835499999999</v>
      </c>
      <c r="Z14">
        <v>20.880941750000002</v>
      </c>
      <c r="AA14">
        <v>0.97010649999999998</v>
      </c>
      <c r="AB14">
        <v>1.8817204301075301E-2</v>
      </c>
      <c r="AC14">
        <v>87665.52</v>
      </c>
    </row>
    <row r="15" spans="1:29">
      <c r="A15">
        <v>202302</v>
      </c>
      <c r="B15" s="46">
        <v>44958</v>
      </c>
      <c r="C15">
        <v>2023</v>
      </c>
      <c r="D15">
        <v>2</v>
      </c>
      <c r="E15" t="s">
        <v>76</v>
      </c>
      <c r="F15">
        <v>28</v>
      </c>
      <c r="G15">
        <v>672</v>
      </c>
      <c r="H15">
        <v>38138075.5</v>
      </c>
      <c r="I15">
        <v>56753.09</v>
      </c>
      <c r="J15">
        <v>71039.75</v>
      </c>
      <c r="K15">
        <v>41591603.5</v>
      </c>
      <c r="L15">
        <v>18358493.25</v>
      </c>
      <c r="M15">
        <v>22559183.5</v>
      </c>
      <c r="N15">
        <v>673926.75</v>
      </c>
      <c r="O15">
        <v>44.14</v>
      </c>
      <c r="P15">
        <v>128.31</v>
      </c>
      <c r="Q15">
        <v>22.01</v>
      </c>
      <c r="R15">
        <v>245.6</v>
      </c>
      <c r="S15">
        <v>0</v>
      </c>
      <c r="T15">
        <v>0</v>
      </c>
      <c r="U15" t="s">
        <v>241</v>
      </c>
      <c r="V15">
        <v>38.138075499999999</v>
      </c>
      <c r="W15">
        <v>56.753089999999993</v>
      </c>
      <c r="X15">
        <v>71.039749999999998</v>
      </c>
      <c r="Y15">
        <v>18.358493249999999</v>
      </c>
      <c r="Z15">
        <v>22.5591835</v>
      </c>
      <c r="AA15">
        <v>0.67392675000000002</v>
      </c>
      <c r="AB15">
        <v>0</v>
      </c>
      <c r="AC15">
        <v>86224.320000000007</v>
      </c>
    </row>
    <row r="16" spans="1:29">
      <c r="A16">
        <v>202303</v>
      </c>
      <c r="B16" s="46">
        <v>44986</v>
      </c>
      <c r="C16">
        <v>2023</v>
      </c>
      <c r="D16">
        <v>3</v>
      </c>
      <c r="E16" t="s">
        <v>77</v>
      </c>
      <c r="F16">
        <v>31</v>
      </c>
      <c r="G16">
        <v>743</v>
      </c>
      <c r="H16">
        <v>40877975.25</v>
      </c>
      <c r="I16">
        <v>55017.46</v>
      </c>
      <c r="J16">
        <v>67929.25</v>
      </c>
      <c r="K16">
        <v>43533282</v>
      </c>
      <c r="L16">
        <v>22708597.75</v>
      </c>
      <c r="M16">
        <v>19857418.75</v>
      </c>
      <c r="N16">
        <v>967265.5</v>
      </c>
      <c r="O16">
        <v>52.16</v>
      </c>
      <c r="P16">
        <v>102.52</v>
      </c>
      <c r="Q16">
        <v>-6.02</v>
      </c>
      <c r="R16">
        <v>217.09</v>
      </c>
      <c r="S16">
        <v>9</v>
      </c>
      <c r="T16">
        <v>0</v>
      </c>
      <c r="U16" t="s">
        <v>242</v>
      </c>
      <c r="V16">
        <v>40.877975249999999</v>
      </c>
      <c r="W16">
        <v>55.01746</v>
      </c>
      <c r="X16">
        <v>67.929249999999996</v>
      </c>
      <c r="Y16">
        <v>22.708597749999999</v>
      </c>
      <c r="Z16">
        <v>19.857418750000001</v>
      </c>
      <c r="AA16">
        <v>0.9672655</v>
      </c>
      <c r="AB16">
        <v>1.21130551816958E-2</v>
      </c>
      <c r="AC16">
        <v>76172.36</v>
      </c>
    </row>
    <row r="17" spans="1:29">
      <c r="A17">
        <v>202304</v>
      </c>
      <c r="B17" s="46">
        <v>45017</v>
      </c>
      <c r="C17">
        <v>2023</v>
      </c>
      <c r="D17">
        <v>4</v>
      </c>
      <c r="E17" t="s">
        <v>78</v>
      </c>
      <c r="F17">
        <v>30</v>
      </c>
      <c r="G17">
        <v>720</v>
      </c>
      <c r="H17">
        <v>36156149.75</v>
      </c>
      <c r="I17">
        <v>50216.87</v>
      </c>
      <c r="J17">
        <v>64854.25</v>
      </c>
      <c r="K17">
        <v>36337631.75</v>
      </c>
      <c r="L17">
        <v>19941777.25</v>
      </c>
      <c r="M17">
        <v>15456739.75</v>
      </c>
      <c r="N17">
        <v>939114.75</v>
      </c>
      <c r="O17">
        <v>54.88</v>
      </c>
      <c r="P17">
        <v>100.74</v>
      </c>
      <c r="Q17">
        <v>-8.82</v>
      </c>
      <c r="R17">
        <v>207.92</v>
      </c>
      <c r="S17">
        <v>11</v>
      </c>
      <c r="T17">
        <v>0</v>
      </c>
      <c r="U17" t="s">
        <v>243</v>
      </c>
      <c r="V17">
        <v>36.156149749999997</v>
      </c>
      <c r="W17">
        <v>50.21687</v>
      </c>
      <c r="X17">
        <v>64.854249999999993</v>
      </c>
      <c r="Y17">
        <v>19.941777250000001</v>
      </c>
      <c r="Z17">
        <v>15.456739750000001</v>
      </c>
      <c r="AA17">
        <v>0.93911475</v>
      </c>
      <c r="AB17">
        <v>1.52777777777778E-2</v>
      </c>
      <c r="AC17">
        <v>72532.800000000003</v>
      </c>
    </row>
    <row r="18" spans="1:29">
      <c r="A18">
        <v>202305</v>
      </c>
      <c r="B18" s="46">
        <v>45047</v>
      </c>
      <c r="C18">
        <v>2023</v>
      </c>
      <c r="D18">
        <v>5</v>
      </c>
      <c r="E18" t="s">
        <v>79</v>
      </c>
      <c r="F18">
        <v>31</v>
      </c>
      <c r="G18">
        <v>744</v>
      </c>
      <c r="H18">
        <v>36323273.25</v>
      </c>
      <c r="I18">
        <v>48821.599999999999</v>
      </c>
      <c r="J18">
        <v>64015.5</v>
      </c>
      <c r="K18">
        <v>33798360.25</v>
      </c>
      <c r="L18">
        <v>21187865.5</v>
      </c>
      <c r="M18">
        <v>11682799.5</v>
      </c>
      <c r="N18">
        <v>927695.25</v>
      </c>
      <c r="O18">
        <v>62.69</v>
      </c>
      <c r="P18">
        <v>81.72</v>
      </c>
      <c r="Q18">
        <v>-129.96</v>
      </c>
      <c r="R18">
        <v>182.68</v>
      </c>
      <c r="S18">
        <v>33</v>
      </c>
      <c r="T18">
        <v>0</v>
      </c>
      <c r="U18" t="s">
        <v>244</v>
      </c>
      <c r="V18">
        <v>36.32327325</v>
      </c>
      <c r="W18">
        <v>48.821599999999997</v>
      </c>
      <c r="X18">
        <v>64.015500000000003</v>
      </c>
      <c r="Y18">
        <v>21.187865500000001</v>
      </c>
      <c r="Z18">
        <v>11.6827995</v>
      </c>
      <c r="AA18">
        <v>0.92769524999999997</v>
      </c>
      <c r="AB18">
        <v>4.4354838709677401E-2</v>
      </c>
      <c r="AC18">
        <v>60799.68</v>
      </c>
    </row>
    <row r="19" spans="1:29">
      <c r="A19">
        <v>202306</v>
      </c>
      <c r="B19" s="46">
        <v>45078</v>
      </c>
      <c r="C19">
        <v>2023</v>
      </c>
      <c r="D19">
        <v>6</v>
      </c>
      <c r="E19" t="s">
        <v>80</v>
      </c>
      <c r="F19">
        <v>30</v>
      </c>
      <c r="G19">
        <v>720</v>
      </c>
      <c r="H19">
        <v>35475148.75</v>
      </c>
      <c r="I19">
        <v>49271.040000000001</v>
      </c>
      <c r="J19">
        <v>64164.75</v>
      </c>
      <c r="K19">
        <v>32687061.25</v>
      </c>
      <c r="L19">
        <v>19469121.25</v>
      </c>
      <c r="M19">
        <v>12462163</v>
      </c>
      <c r="N19">
        <v>755777</v>
      </c>
      <c r="O19">
        <v>59.56</v>
      </c>
      <c r="P19">
        <v>94.76</v>
      </c>
      <c r="Q19">
        <v>-36.35</v>
      </c>
      <c r="R19">
        <v>197.77</v>
      </c>
      <c r="S19">
        <v>20</v>
      </c>
      <c r="T19">
        <v>0</v>
      </c>
      <c r="U19" t="s">
        <v>245</v>
      </c>
      <c r="V19">
        <v>35.475148750000002</v>
      </c>
      <c r="W19">
        <v>49.271039999999999</v>
      </c>
      <c r="X19">
        <v>64.164749999999998</v>
      </c>
      <c r="Y19">
        <v>19.469121250000001</v>
      </c>
      <c r="Z19">
        <v>12.462163</v>
      </c>
      <c r="AA19">
        <v>0.75577700000000003</v>
      </c>
      <c r="AB19">
        <v>2.7777777777777801E-2</v>
      </c>
      <c r="AC19">
        <v>68227.199999999997</v>
      </c>
    </row>
    <row r="20" spans="1:29">
      <c r="A20">
        <v>202307</v>
      </c>
      <c r="B20" s="46">
        <v>45108</v>
      </c>
      <c r="C20">
        <v>2023</v>
      </c>
      <c r="D20">
        <v>7</v>
      </c>
      <c r="E20" t="s">
        <v>81</v>
      </c>
      <c r="F20">
        <v>31</v>
      </c>
      <c r="G20">
        <v>744</v>
      </c>
      <c r="H20">
        <v>36253498</v>
      </c>
      <c r="I20">
        <v>48727.82</v>
      </c>
      <c r="J20">
        <v>63658.25</v>
      </c>
      <c r="K20">
        <v>34304224.25</v>
      </c>
      <c r="L20">
        <v>22352358.5</v>
      </c>
      <c r="M20">
        <v>11260857</v>
      </c>
      <c r="N20">
        <v>691008.75</v>
      </c>
      <c r="O20">
        <v>65.16</v>
      </c>
      <c r="P20">
        <v>77.61</v>
      </c>
      <c r="Q20">
        <v>-500</v>
      </c>
      <c r="R20">
        <v>188</v>
      </c>
      <c r="S20">
        <v>56</v>
      </c>
      <c r="T20">
        <v>0</v>
      </c>
      <c r="U20" t="s">
        <v>246</v>
      </c>
      <c r="V20">
        <v>36.253498</v>
      </c>
      <c r="W20">
        <v>48.727820000000001</v>
      </c>
      <c r="X20">
        <v>63.658250000000002</v>
      </c>
      <c r="Y20">
        <v>22.352358500000001</v>
      </c>
      <c r="Z20">
        <v>11.260857</v>
      </c>
      <c r="AA20">
        <v>0.69100874999999995</v>
      </c>
      <c r="AB20">
        <v>7.5268817204301106E-2</v>
      </c>
      <c r="AC20">
        <v>57741.84</v>
      </c>
    </row>
    <row r="21" spans="1:29">
      <c r="A21">
        <v>202308</v>
      </c>
      <c r="B21" s="46">
        <v>45139</v>
      </c>
      <c r="C21">
        <v>2023</v>
      </c>
      <c r="D21">
        <v>8</v>
      </c>
      <c r="E21" t="s">
        <v>82</v>
      </c>
      <c r="F21">
        <v>31</v>
      </c>
      <c r="G21">
        <v>744</v>
      </c>
      <c r="H21">
        <v>36307265</v>
      </c>
      <c r="I21">
        <v>48800.09</v>
      </c>
      <c r="J21">
        <v>63071.5</v>
      </c>
      <c r="K21">
        <v>31982277.25</v>
      </c>
      <c r="L21">
        <v>18099143.5</v>
      </c>
      <c r="M21">
        <v>13053799.25</v>
      </c>
      <c r="N21">
        <v>829334.5</v>
      </c>
      <c r="O21">
        <v>56.59</v>
      </c>
      <c r="P21">
        <v>94.32</v>
      </c>
      <c r="Q21">
        <v>-21.77</v>
      </c>
      <c r="R21">
        <v>291.93</v>
      </c>
      <c r="S21">
        <v>23</v>
      </c>
      <c r="T21">
        <v>0</v>
      </c>
      <c r="U21" t="s">
        <v>247</v>
      </c>
      <c r="V21">
        <v>36.307265000000001</v>
      </c>
      <c r="W21">
        <v>48.800089999999997</v>
      </c>
      <c r="X21">
        <v>63.0715</v>
      </c>
      <c r="Y21">
        <v>18.0991435</v>
      </c>
      <c r="Z21">
        <v>13.053799250000001</v>
      </c>
      <c r="AA21">
        <v>0.82933449999999997</v>
      </c>
      <c r="AB21">
        <v>3.0913978494623701E-2</v>
      </c>
      <c r="AC21">
        <v>70174.080000000002</v>
      </c>
    </row>
    <row r="22" spans="1:29">
      <c r="A22">
        <v>202309</v>
      </c>
      <c r="B22" s="46">
        <v>45170</v>
      </c>
      <c r="C22">
        <v>2023</v>
      </c>
      <c r="D22">
        <v>9</v>
      </c>
      <c r="E22" t="s">
        <v>83</v>
      </c>
      <c r="F22">
        <v>30</v>
      </c>
      <c r="G22">
        <v>720</v>
      </c>
      <c r="H22">
        <v>35812639.25</v>
      </c>
      <c r="I22">
        <v>49739.78</v>
      </c>
      <c r="J22">
        <v>63746.75</v>
      </c>
      <c r="K22">
        <v>32338160.25</v>
      </c>
      <c r="L22">
        <v>17526490</v>
      </c>
      <c r="M22">
        <v>13985480.25</v>
      </c>
      <c r="N22">
        <v>826190</v>
      </c>
      <c r="O22">
        <v>54.2</v>
      </c>
      <c r="P22">
        <v>100.72</v>
      </c>
      <c r="Q22">
        <v>-5.74</v>
      </c>
      <c r="R22">
        <v>524.27</v>
      </c>
      <c r="S22">
        <v>22</v>
      </c>
      <c r="T22">
        <v>0</v>
      </c>
      <c r="U22" t="s">
        <v>248</v>
      </c>
      <c r="V22">
        <v>35.812639249999997</v>
      </c>
      <c r="W22">
        <v>49.739779999999996</v>
      </c>
      <c r="X22">
        <v>63.746749999999999</v>
      </c>
      <c r="Y22">
        <v>17.526489999999999</v>
      </c>
      <c r="Z22">
        <v>13.98548025</v>
      </c>
      <c r="AA22">
        <v>0.82618999999999998</v>
      </c>
      <c r="AB22">
        <v>3.05555555555556E-2</v>
      </c>
      <c r="AC22">
        <v>72518.399999999994</v>
      </c>
    </row>
    <row r="23" spans="1:29">
      <c r="A23">
        <v>202310</v>
      </c>
      <c r="B23" s="46">
        <v>45200</v>
      </c>
      <c r="C23">
        <v>2023</v>
      </c>
      <c r="D23">
        <v>10</v>
      </c>
      <c r="E23" t="s">
        <v>84</v>
      </c>
      <c r="F23">
        <v>31</v>
      </c>
      <c r="G23">
        <v>745</v>
      </c>
      <c r="H23">
        <v>38794876.75</v>
      </c>
      <c r="I23">
        <v>52073.66</v>
      </c>
      <c r="J23">
        <v>68280</v>
      </c>
      <c r="K23">
        <v>38018825</v>
      </c>
      <c r="L23">
        <v>21931551</v>
      </c>
      <c r="M23">
        <v>15182667</v>
      </c>
      <c r="N23">
        <v>904607</v>
      </c>
      <c r="O23">
        <v>57.69</v>
      </c>
      <c r="P23">
        <v>87.38</v>
      </c>
      <c r="Q23">
        <v>-11.07</v>
      </c>
      <c r="R23">
        <v>250.28</v>
      </c>
      <c r="S23">
        <v>38</v>
      </c>
      <c r="T23">
        <v>0</v>
      </c>
      <c r="U23" t="s">
        <v>249</v>
      </c>
      <c r="V23">
        <v>38.79487675</v>
      </c>
      <c r="W23">
        <v>52.073660000000004</v>
      </c>
      <c r="X23">
        <v>68.28</v>
      </c>
      <c r="Y23">
        <v>21.931550999999999</v>
      </c>
      <c r="Z23">
        <v>15.182667</v>
      </c>
      <c r="AA23">
        <v>0.90460700000000005</v>
      </c>
      <c r="AB23">
        <v>5.1006711409395999E-2</v>
      </c>
      <c r="AC23">
        <v>65098.1</v>
      </c>
    </row>
    <row r="24" spans="1:29">
      <c r="A24">
        <v>202311</v>
      </c>
      <c r="B24" s="46">
        <v>45231</v>
      </c>
      <c r="C24">
        <v>2023</v>
      </c>
      <c r="D24">
        <v>11</v>
      </c>
      <c r="E24" t="s">
        <v>85</v>
      </c>
      <c r="F24">
        <v>30</v>
      </c>
      <c r="G24">
        <v>720</v>
      </c>
      <c r="H24">
        <v>41090774</v>
      </c>
      <c r="I24">
        <v>57070.52</v>
      </c>
      <c r="J24">
        <v>72447</v>
      </c>
      <c r="K24">
        <v>41109005</v>
      </c>
      <c r="L24">
        <v>22654226</v>
      </c>
      <c r="M24">
        <v>17602772.75</v>
      </c>
      <c r="N24">
        <v>852006.25</v>
      </c>
      <c r="O24">
        <v>55.11</v>
      </c>
      <c r="P24">
        <v>91.12</v>
      </c>
      <c r="Q24">
        <v>-0.08</v>
      </c>
      <c r="R24">
        <v>261</v>
      </c>
      <c r="S24">
        <v>3</v>
      </c>
      <c r="T24">
        <v>0</v>
      </c>
      <c r="U24" t="s">
        <v>250</v>
      </c>
      <c r="V24">
        <v>41.090774000000003</v>
      </c>
      <c r="W24">
        <v>57.070519999999995</v>
      </c>
      <c r="X24">
        <v>72.447000000000003</v>
      </c>
      <c r="Y24">
        <v>22.654226000000001</v>
      </c>
      <c r="Z24">
        <v>17.60277275</v>
      </c>
      <c r="AA24">
        <v>0.85200624999999997</v>
      </c>
      <c r="AB24">
        <v>4.1666666666666701E-3</v>
      </c>
      <c r="AC24">
        <v>65606.400000000009</v>
      </c>
    </row>
    <row r="25" spans="1:29">
      <c r="A25">
        <v>202312</v>
      </c>
      <c r="B25" s="46">
        <v>45261</v>
      </c>
      <c r="C25">
        <v>2023</v>
      </c>
      <c r="D25">
        <v>12</v>
      </c>
      <c r="E25" t="s">
        <v>86</v>
      </c>
      <c r="F25">
        <v>31</v>
      </c>
      <c r="G25">
        <v>744</v>
      </c>
      <c r="H25">
        <v>40999103</v>
      </c>
      <c r="I25">
        <v>55106.32</v>
      </c>
      <c r="J25">
        <v>73747.5</v>
      </c>
      <c r="K25">
        <v>43287025.25</v>
      </c>
      <c r="L25">
        <v>24649911.75</v>
      </c>
      <c r="M25">
        <v>17798167.5</v>
      </c>
      <c r="N25">
        <v>838946</v>
      </c>
      <c r="O25">
        <v>56.95</v>
      </c>
      <c r="P25">
        <v>68.52</v>
      </c>
      <c r="Q25">
        <v>-13.37</v>
      </c>
      <c r="R25">
        <v>230.69</v>
      </c>
      <c r="S25">
        <v>72</v>
      </c>
      <c r="T25">
        <v>0</v>
      </c>
      <c r="U25" t="s">
        <v>251</v>
      </c>
      <c r="V25">
        <v>40.999102999999998</v>
      </c>
      <c r="W25">
        <v>55.106319999999997</v>
      </c>
      <c r="X25">
        <v>73.747500000000002</v>
      </c>
      <c r="Y25">
        <v>24.649911750000001</v>
      </c>
      <c r="Z25">
        <v>17.798167500000002</v>
      </c>
      <c r="AA25">
        <v>0.83894599999999997</v>
      </c>
      <c r="AB25">
        <v>9.6774193548387094E-2</v>
      </c>
      <c r="AC25">
        <v>50978.879999999997</v>
      </c>
    </row>
    <row r="26" spans="1:29">
      <c r="A26">
        <v>202401</v>
      </c>
      <c r="B26" s="46">
        <v>45292</v>
      </c>
      <c r="C26">
        <v>2024</v>
      </c>
      <c r="D26">
        <v>1</v>
      </c>
      <c r="E26" t="s">
        <v>75</v>
      </c>
      <c r="F26">
        <v>31</v>
      </c>
      <c r="G26">
        <v>744</v>
      </c>
      <c r="H26">
        <v>44095498.25</v>
      </c>
      <c r="I26">
        <v>59268.14</v>
      </c>
      <c r="J26">
        <v>75508.25</v>
      </c>
      <c r="K26">
        <v>45019775.75</v>
      </c>
      <c r="L26">
        <v>24837194.5</v>
      </c>
      <c r="M26">
        <v>19385001.75</v>
      </c>
      <c r="N26">
        <v>797579.5</v>
      </c>
      <c r="O26">
        <v>55.17</v>
      </c>
      <c r="P26">
        <v>76.569999999999993</v>
      </c>
      <c r="Q26">
        <v>-4.84</v>
      </c>
      <c r="R26">
        <v>150.09</v>
      </c>
      <c r="S26">
        <v>16</v>
      </c>
      <c r="T26">
        <v>36</v>
      </c>
      <c r="U26" t="s">
        <v>252</v>
      </c>
      <c r="V26">
        <v>44.095498249999999</v>
      </c>
      <c r="W26">
        <v>59.268140000000002</v>
      </c>
      <c r="X26">
        <v>75.508250000000004</v>
      </c>
      <c r="Y26">
        <v>24.837194499999999</v>
      </c>
      <c r="Z26">
        <v>19.385001750000001</v>
      </c>
      <c r="AA26">
        <v>0.7975795</v>
      </c>
      <c r="AB26">
        <v>2.1505376344085999E-2</v>
      </c>
      <c r="AC26">
        <v>56968.079999999994</v>
      </c>
    </row>
    <row r="27" spans="1:29">
      <c r="A27">
        <v>202402</v>
      </c>
      <c r="B27" s="46">
        <v>45323</v>
      </c>
      <c r="C27">
        <v>2024</v>
      </c>
      <c r="D27">
        <v>2</v>
      </c>
      <c r="E27" t="s">
        <v>76</v>
      </c>
      <c r="F27">
        <v>29</v>
      </c>
      <c r="G27">
        <v>696</v>
      </c>
      <c r="H27">
        <v>39956911</v>
      </c>
      <c r="I27">
        <v>57409.35</v>
      </c>
      <c r="J27">
        <v>70974.25</v>
      </c>
      <c r="K27">
        <v>39611473.5</v>
      </c>
      <c r="L27">
        <v>23595476</v>
      </c>
      <c r="M27">
        <v>15245618</v>
      </c>
      <c r="N27">
        <v>770379.5</v>
      </c>
      <c r="O27">
        <v>59.57</v>
      </c>
      <c r="P27">
        <v>61.34</v>
      </c>
      <c r="Q27">
        <v>-0.13</v>
      </c>
      <c r="R27">
        <v>136.22</v>
      </c>
      <c r="S27">
        <v>4</v>
      </c>
      <c r="T27">
        <v>696</v>
      </c>
      <c r="U27" t="s">
        <v>253</v>
      </c>
      <c r="V27">
        <v>39.956910999999998</v>
      </c>
      <c r="W27">
        <v>57.409349999999996</v>
      </c>
      <c r="X27">
        <v>70.974249999999998</v>
      </c>
      <c r="Y27">
        <v>23.595476000000001</v>
      </c>
      <c r="Z27">
        <v>15.245618</v>
      </c>
      <c r="AA27">
        <v>0.77037949999999999</v>
      </c>
      <c r="AB27">
        <v>5.74712643678161E-3</v>
      </c>
      <c r="AC27">
        <v>42692.639999999999</v>
      </c>
    </row>
    <row r="28" spans="1:29">
      <c r="A28">
        <v>202403</v>
      </c>
      <c r="B28" s="46">
        <v>45352</v>
      </c>
      <c r="C28">
        <v>2024</v>
      </c>
      <c r="D28">
        <v>3</v>
      </c>
      <c r="E28" t="s">
        <v>77</v>
      </c>
      <c r="F28">
        <v>31</v>
      </c>
      <c r="G28">
        <v>743</v>
      </c>
      <c r="H28">
        <v>40192601.75</v>
      </c>
      <c r="I28">
        <v>54095.02</v>
      </c>
      <c r="J28">
        <v>70041.25</v>
      </c>
      <c r="K28">
        <v>38119183</v>
      </c>
      <c r="L28">
        <v>21712578</v>
      </c>
      <c r="M28">
        <v>15588116.25</v>
      </c>
      <c r="N28">
        <v>818488.75</v>
      </c>
      <c r="O28">
        <v>56.96</v>
      </c>
      <c r="P28">
        <v>64.7</v>
      </c>
      <c r="Q28">
        <v>-9.98</v>
      </c>
      <c r="R28">
        <v>174.7</v>
      </c>
      <c r="S28">
        <v>12</v>
      </c>
      <c r="T28">
        <v>743</v>
      </c>
      <c r="U28" t="s">
        <v>254</v>
      </c>
      <c r="V28">
        <v>40.192601750000001</v>
      </c>
      <c r="W28">
        <v>54.095019999999998</v>
      </c>
      <c r="X28">
        <v>70.041250000000005</v>
      </c>
      <c r="Y28">
        <v>21.712578000000001</v>
      </c>
      <c r="Z28">
        <v>15.588116250000001</v>
      </c>
      <c r="AA28">
        <v>0.81848874999999999</v>
      </c>
      <c r="AB28">
        <v>1.61507402422611E-2</v>
      </c>
      <c r="AC28">
        <v>48072.1</v>
      </c>
    </row>
    <row r="29" spans="1:29">
      <c r="A29">
        <v>202404</v>
      </c>
      <c r="B29" s="46">
        <v>45383</v>
      </c>
      <c r="C29">
        <v>2024</v>
      </c>
      <c r="D29">
        <v>4</v>
      </c>
      <c r="E29" t="s">
        <v>78</v>
      </c>
      <c r="F29">
        <v>30</v>
      </c>
      <c r="G29">
        <v>720</v>
      </c>
      <c r="H29">
        <v>37730955.5</v>
      </c>
      <c r="I29">
        <v>52404.1</v>
      </c>
      <c r="J29">
        <v>67257.75</v>
      </c>
      <c r="K29">
        <v>35447379</v>
      </c>
      <c r="L29">
        <v>22993354.25</v>
      </c>
      <c r="M29">
        <v>11550222</v>
      </c>
      <c r="N29">
        <v>903802.75</v>
      </c>
      <c r="O29">
        <v>64.87</v>
      </c>
      <c r="P29">
        <v>62.36</v>
      </c>
      <c r="Q29">
        <v>-65.06</v>
      </c>
      <c r="R29">
        <v>204.57</v>
      </c>
      <c r="S29">
        <v>50</v>
      </c>
      <c r="T29">
        <v>720</v>
      </c>
      <c r="U29" t="s">
        <v>255</v>
      </c>
      <c r="V29">
        <v>37.7309555</v>
      </c>
      <c r="W29">
        <v>52.4041</v>
      </c>
      <c r="X29">
        <v>67.257750000000001</v>
      </c>
      <c r="Y29">
        <v>22.993354249999999</v>
      </c>
      <c r="Z29">
        <v>11.550222</v>
      </c>
      <c r="AA29">
        <v>0.90380274999999999</v>
      </c>
      <c r="AB29">
        <v>6.9444444444444406E-2</v>
      </c>
      <c r="AC29">
        <v>44899.199999999997</v>
      </c>
    </row>
    <row r="30" spans="1:29">
      <c r="A30">
        <v>202405</v>
      </c>
      <c r="B30" s="46">
        <v>45413</v>
      </c>
      <c r="C30">
        <v>2024</v>
      </c>
      <c r="D30">
        <v>5</v>
      </c>
      <c r="E30" t="s">
        <v>79</v>
      </c>
      <c r="F30">
        <v>31</v>
      </c>
      <c r="G30">
        <v>744</v>
      </c>
      <c r="H30">
        <v>35983512.75</v>
      </c>
      <c r="I30">
        <v>48364.94</v>
      </c>
      <c r="J30">
        <v>63385.75</v>
      </c>
      <c r="K30">
        <v>33083439.25</v>
      </c>
      <c r="L30">
        <v>21175241.5</v>
      </c>
      <c r="M30">
        <v>11003711.5</v>
      </c>
      <c r="N30">
        <v>904486.25</v>
      </c>
      <c r="O30">
        <v>64.010000000000005</v>
      </c>
      <c r="P30">
        <v>67.209999999999994</v>
      </c>
      <c r="Q30">
        <v>-135.44999999999999</v>
      </c>
      <c r="R30">
        <v>221.46</v>
      </c>
      <c r="S30">
        <v>78</v>
      </c>
      <c r="T30">
        <v>744</v>
      </c>
      <c r="U30" t="s">
        <v>256</v>
      </c>
      <c r="V30">
        <v>35.983512750000003</v>
      </c>
      <c r="W30">
        <v>48.364940000000004</v>
      </c>
      <c r="X30">
        <v>63.385750000000002</v>
      </c>
      <c r="Y30">
        <v>21.175241499999998</v>
      </c>
      <c r="Z30">
        <v>11.0037115</v>
      </c>
      <c r="AA30">
        <v>0.90448625000000005</v>
      </c>
      <c r="AB30">
        <v>0.104838709677419</v>
      </c>
      <c r="AC30">
        <v>50004.24</v>
      </c>
    </row>
    <row r="31" spans="1:29">
      <c r="A31">
        <v>202406</v>
      </c>
      <c r="B31" s="46">
        <v>45444</v>
      </c>
      <c r="C31">
        <v>2024</v>
      </c>
      <c r="D31">
        <v>6</v>
      </c>
      <c r="E31" t="s">
        <v>80</v>
      </c>
      <c r="F31">
        <v>30</v>
      </c>
      <c r="G31">
        <v>720</v>
      </c>
      <c r="H31">
        <v>35704641.25</v>
      </c>
      <c r="I31">
        <v>49589.78</v>
      </c>
      <c r="J31">
        <v>63286.75</v>
      </c>
      <c r="K31">
        <v>32606663</v>
      </c>
      <c r="L31">
        <v>20644355.25</v>
      </c>
      <c r="M31">
        <v>11010561.75</v>
      </c>
      <c r="N31">
        <v>951746</v>
      </c>
      <c r="O31">
        <v>63.31</v>
      </c>
      <c r="P31">
        <v>72.89</v>
      </c>
      <c r="Q31">
        <v>-80.010000000000005</v>
      </c>
      <c r="R31">
        <v>235.52</v>
      </c>
      <c r="S31">
        <v>64</v>
      </c>
      <c r="T31">
        <v>720</v>
      </c>
      <c r="U31" t="s">
        <v>257</v>
      </c>
      <c r="V31">
        <v>35.704641250000002</v>
      </c>
      <c r="W31">
        <v>49.589779999999998</v>
      </c>
      <c r="X31">
        <v>63.286749999999998</v>
      </c>
      <c r="Y31">
        <v>20.64435525</v>
      </c>
      <c r="Z31">
        <v>11.010561750000001</v>
      </c>
      <c r="AA31">
        <v>0.95174599999999998</v>
      </c>
      <c r="AB31">
        <v>8.8888888888888906E-2</v>
      </c>
      <c r="AC31">
        <v>52480.800000000003</v>
      </c>
    </row>
    <row r="32" spans="1:29">
      <c r="A32">
        <v>202407</v>
      </c>
      <c r="B32" s="46">
        <v>45474</v>
      </c>
      <c r="C32">
        <v>2024</v>
      </c>
      <c r="D32">
        <v>7</v>
      </c>
      <c r="E32" t="s">
        <v>81</v>
      </c>
      <c r="F32">
        <v>31</v>
      </c>
      <c r="G32">
        <v>744</v>
      </c>
      <c r="H32">
        <v>36973712.75</v>
      </c>
      <c r="I32">
        <v>49695.85</v>
      </c>
      <c r="J32">
        <v>65836.25</v>
      </c>
      <c r="K32">
        <v>33495823.75</v>
      </c>
      <c r="L32">
        <v>21225183</v>
      </c>
      <c r="M32">
        <v>11200174</v>
      </c>
      <c r="N32">
        <v>1070466.75</v>
      </c>
      <c r="O32">
        <v>63.37</v>
      </c>
      <c r="P32">
        <v>67.7</v>
      </c>
      <c r="Q32">
        <v>-73.959999999999994</v>
      </c>
      <c r="R32">
        <v>257.35000000000002</v>
      </c>
      <c r="S32">
        <v>81</v>
      </c>
      <c r="T32">
        <v>744</v>
      </c>
      <c r="U32" t="s">
        <v>258</v>
      </c>
      <c r="V32">
        <v>36.973712749999997</v>
      </c>
      <c r="W32">
        <v>49.69585</v>
      </c>
      <c r="X32">
        <v>65.836250000000007</v>
      </c>
      <c r="Y32">
        <v>21.225183000000001</v>
      </c>
      <c r="Z32">
        <v>11.200174000000001</v>
      </c>
      <c r="AA32">
        <v>1.07046675</v>
      </c>
      <c r="AB32">
        <v>0.108870967741935</v>
      </c>
      <c r="AC32">
        <v>50368.800000000003</v>
      </c>
    </row>
    <row r="33" spans="1:29">
      <c r="A33">
        <v>202408</v>
      </c>
      <c r="B33" s="46">
        <v>45505</v>
      </c>
      <c r="C33">
        <v>2024</v>
      </c>
      <c r="D33">
        <v>8</v>
      </c>
      <c r="E33" t="s">
        <v>82</v>
      </c>
      <c r="F33">
        <v>31</v>
      </c>
      <c r="G33">
        <v>744</v>
      </c>
      <c r="H33">
        <v>36921844</v>
      </c>
      <c r="I33">
        <v>49626.13</v>
      </c>
      <c r="J33">
        <v>63410.25</v>
      </c>
      <c r="K33">
        <v>32766383.75</v>
      </c>
      <c r="L33">
        <v>19908049</v>
      </c>
      <c r="M33">
        <v>11863696.75</v>
      </c>
      <c r="N33">
        <v>994638</v>
      </c>
      <c r="O33">
        <v>60.76</v>
      </c>
      <c r="P33">
        <v>82.05</v>
      </c>
      <c r="Q33">
        <v>-59.96</v>
      </c>
      <c r="R33">
        <v>289.27</v>
      </c>
      <c r="S33">
        <v>68</v>
      </c>
      <c r="T33">
        <v>744</v>
      </c>
      <c r="U33" t="s">
        <v>259</v>
      </c>
      <c r="V33">
        <v>36.921844</v>
      </c>
      <c r="W33">
        <v>49.626129999999996</v>
      </c>
      <c r="X33">
        <v>63.410249999999998</v>
      </c>
      <c r="Y33">
        <v>19.908048999999998</v>
      </c>
      <c r="Z33">
        <v>11.863696750000001</v>
      </c>
      <c r="AA33">
        <v>0.99463800000000002</v>
      </c>
      <c r="AB33">
        <v>9.1397849462365593E-2</v>
      </c>
      <c r="AC33">
        <v>61045.2</v>
      </c>
    </row>
    <row r="34" spans="1:29">
      <c r="A34">
        <v>202409</v>
      </c>
      <c r="B34" s="46">
        <v>45536</v>
      </c>
      <c r="C34">
        <v>2024</v>
      </c>
      <c r="D34">
        <v>9</v>
      </c>
      <c r="E34" t="s">
        <v>83</v>
      </c>
      <c r="F34">
        <v>30</v>
      </c>
      <c r="G34">
        <v>720</v>
      </c>
      <c r="H34">
        <v>36646160.530000001</v>
      </c>
      <c r="I34">
        <v>50897.45</v>
      </c>
      <c r="J34">
        <v>65057</v>
      </c>
      <c r="K34">
        <v>33809086.75</v>
      </c>
      <c r="L34">
        <v>21108167</v>
      </c>
      <c r="M34">
        <v>11863249.25</v>
      </c>
      <c r="N34">
        <v>837670.5</v>
      </c>
      <c r="O34">
        <v>62.43</v>
      </c>
      <c r="P34">
        <v>78.31</v>
      </c>
      <c r="Q34">
        <v>-24</v>
      </c>
      <c r="R34">
        <v>656.37</v>
      </c>
      <c r="S34">
        <v>40</v>
      </c>
      <c r="T34">
        <v>720</v>
      </c>
      <c r="U34" t="s">
        <v>260</v>
      </c>
      <c r="V34">
        <v>36.646160530000003</v>
      </c>
      <c r="W34">
        <v>50.897449999999999</v>
      </c>
      <c r="X34">
        <v>65.057000000000002</v>
      </c>
      <c r="Y34">
        <v>21.108167000000002</v>
      </c>
      <c r="Z34">
        <v>11.863249250000001</v>
      </c>
      <c r="AA34">
        <v>0.83767049999999998</v>
      </c>
      <c r="AB34">
        <v>5.5555555555555601E-2</v>
      </c>
      <c r="AC34">
        <v>56383.200000000004</v>
      </c>
    </row>
    <row r="35" spans="1:29">
      <c r="A35">
        <v>202410</v>
      </c>
      <c r="B35" s="46">
        <v>45566</v>
      </c>
      <c r="C35">
        <v>2024</v>
      </c>
      <c r="D35">
        <v>10</v>
      </c>
      <c r="E35" t="s">
        <v>84</v>
      </c>
      <c r="F35">
        <v>31</v>
      </c>
      <c r="G35">
        <v>745</v>
      </c>
      <c r="H35">
        <v>38537384</v>
      </c>
      <c r="I35">
        <v>51728.03</v>
      </c>
      <c r="J35">
        <v>65491.75</v>
      </c>
      <c r="K35">
        <v>34759714</v>
      </c>
      <c r="L35">
        <v>18885984</v>
      </c>
      <c r="M35">
        <v>15039636.25</v>
      </c>
      <c r="N35">
        <v>834093.75</v>
      </c>
      <c r="O35">
        <v>54.33</v>
      </c>
      <c r="P35">
        <v>86.1</v>
      </c>
      <c r="Q35">
        <v>-15.69</v>
      </c>
      <c r="R35">
        <v>285.8</v>
      </c>
      <c r="S35">
        <v>25</v>
      </c>
      <c r="T35">
        <v>745</v>
      </c>
      <c r="U35" t="s">
        <v>261</v>
      </c>
      <c r="V35">
        <v>38.537384000000003</v>
      </c>
      <c r="W35">
        <v>51.728029999999997</v>
      </c>
      <c r="X35">
        <v>65.491749999999996</v>
      </c>
      <c r="Y35">
        <v>18.885984000000001</v>
      </c>
      <c r="Z35">
        <v>15.039636249999999</v>
      </c>
      <c r="AA35">
        <v>0.83409374999999997</v>
      </c>
      <c r="AB35">
        <v>3.35570469798658E-2</v>
      </c>
      <c r="AC35">
        <v>64144.499999999993</v>
      </c>
    </row>
    <row r="36" spans="1:29">
      <c r="A36">
        <v>202411</v>
      </c>
      <c r="B36" s="46">
        <v>45597</v>
      </c>
      <c r="C36">
        <v>2024</v>
      </c>
      <c r="D36">
        <v>11</v>
      </c>
      <c r="E36" t="s">
        <v>85</v>
      </c>
      <c r="F36">
        <v>30</v>
      </c>
      <c r="G36">
        <v>720</v>
      </c>
      <c r="H36">
        <v>41376520</v>
      </c>
      <c r="I36">
        <v>57467.39</v>
      </c>
      <c r="J36">
        <v>72944.75</v>
      </c>
      <c r="K36">
        <v>38701564.75</v>
      </c>
      <c r="L36">
        <v>18334035.25</v>
      </c>
      <c r="M36">
        <v>19650342.5</v>
      </c>
      <c r="N36">
        <v>717187</v>
      </c>
      <c r="O36">
        <v>47.37</v>
      </c>
      <c r="P36">
        <v>113.91</v>
      </c>
      <c r="Q36">
        <v>-1.86</v>
      </c>
      <c r="R36">
        <v>820.11</v>
      </c>
      <c r="S36">
        <v>11</v>
      </c>
      <c r="T36">
        <v>720</v>
      </c>
      <c r="U36" t="s">
        <v>262</v>
      </c>
      <c r="V36">
        <v>41.376519999999999</v>
      </c>
      <c r="W36">
        <v>57.467390000000002</v>
      </c>
      <c r="X36">
        <v>72.944749999999999</v>
      </c>
      <c r="Y36">
        <v>18.334035249999999</v>
      </c>
      <c r="Z36">
        <v>19.650342500000001</v>
      </c>
      <c r="AA36">
        <v>0.71718700000000002</v>
      </c>
      <c r="AB36">
        <v>1.52777777777778E-2</v>
      </c>
      <c r="AC36">
        <v>82015.199999999997</v>
      </c>
    </row>
    <row r="37" spans="1:29">
      <c r="A37">
        <v>202412</v>
      </c>
      <c r="B37" s="46">
        <v>45627</v>
      </c>
      <c r="C37">
        <v>2024</v>
      </c>
      <c r="D37">
        <v>12</v>
      </c>
      <c r="E37" t="s">
        <v>86</v>
      </c>
      <c r="F37">
        <v>31</v>
      </c>
      <c r="G37">
        <v>744</v>
      </c>
      <c r="H37">
        <v>41383116</v>
      </c>
      <c r="I37">
        <v>55622.47</v>
      </c>
      <c r="J37">
        <v>74516.25</v>
      </c>
      <c r="K37">
        <v>40233990.25</v>
      </c>
      <c r="L37">
        <v>21764375.5</v>
      </c>
      <c r="M37">
        <v>17679460.75</v>
      </c>
      <c r="N37">
        <v>790154</v>
      </c>
      <c r="O37">
        <v>54.09</v>
      </c>
      <c r="P37">
        <v>108.32</v>
      </c>
      <c r="Q37">
        <v>-2.06</v>
      </c>
      <c r="R37">
        <v>936.28</v>
      </c>
      <c r="S37">
        <v>8</v>
      </c>
      <c r="T37">
        <v>744</v>
      </c>
      <c r="U37" t="s">
        <v>263</v>
      </c>
      <c r="V37">
        <v>41.383116000000001</v>
      </c>
      <c r="W37">
        <v>55.62247</v>
      </c>
      <c r="X37">
        <v>74.516249999999999</v>
      </c>
      <c r="Y37">
        <v>21.7643755</v>
      </c>
      <c r="Z37">
        <v>17.679460750000001</v>
      </c>
      <c r="AA37">
        <v>0.79015400000000002</v>
      </c>
      <c r="AB37">
        <v>1.0752688172042999E-2</v>
      </c>
      <c r="AC37">
        <v>80590.080000000002</v>
      </c>
    </row>
    <row r="38" spans="1:29">
      <c r="A38">
        <v>202501</v>
      </c>
      <c r="B38" s="46">
        <v>45658</v>
      </c>
      <c r="C38">
        <v>2025</v>
      </c>
      <c r="D38">
        <v>1</v>
      </c>
      <c r="E38" t="s">
        <v>75</v>
      </c>
      <c r="F38">
        <v>31</v>
      </c>
      <c r="G38">
        <v>744</v>
      </c>
      <c r="H38">
        <v>44170689.75</v>
      </c>
      <c r="I38">
        <v>59369.21</v>
      </c>
      <c r="J38">
        <v>75361</v>
      </c>
      <c r="K38">
        <v>42431050.280000001</v>
      </c>
      <c r="L38">
        <v>21982044.280000001</v>
      </c>
      <c r="M38">
        <v>19595893.75</v>
      </c>
      <c r="N38">
        <v>853112.25</v>
      </c>
      <c r="O38">
        <v>51.81</v>
      </c>
      <c r="P38">
        <v>114.14</v>
      </c>
      <c r="Q38">
        <v>-1.01</v>
      </c>
      <c r="R38">
        <v>583.4</v>
      </c>
      <c r="S38">
        <v>14</v>
      </c>
      <c r="T38">
        <v>744</v>
      </c>
      <c r="U38" t="s">
        <v>264</v>
      </c>
      <c r="V38">
        <v>44.170689750000001</v>
      </c>
      <c r="W38">
        <v>59.369210000000002</v>
      </c>
      <c r="X38">
        <v>75.361000000000004</v>
      </c>
      <c r="Y38">
        <v>21.98204428</v>
      </c>
      <c r="Z38">
        <v>19.595893749999998</v>
      </c>
      <c r="AA38">
        <v>0.85311225000000002</v>
      </c>
      <c r="AB38">
        <v>1.8817204301075301E-2</v>
      </c>
      <c r="AC38">
        <v>84920.16</v>
      </c>
    </row>
    <row r="39" spans="1:29">
      <c r="A39">
        <v>202502</v>
      </c>
      <c r="B39" s="46">
        <v>45689</v>
      </c>
      <c r="C39">
        <v>2025</v>
      </c>
      <c r="D39">
        <v>2</v>
      </c>
      <c r="E39" t="s">
        <v>76</v>
      </c>
      <c r="F39">
        <v>28</v>
      </c>
      <c r="G39">
        <v>672</v>
      </c>
      <c r="H39">
        <v>40067317.229999997</v>
      </c>
      <c r="I39">
        <v>59623.98</v>
      </c>
      <c r="J39">
        <v>73879.92</v>
      </c>
      <c r="K39">
        <v>37601211</v>
      </c>
      <c r="L39">
        <v>16667015</v>
      </c>
      <c r="M39">
        <v>20189210.25</v>
      </c>
      <c r="N39">
        <v>744985.75</v>
      </c>
      <c r="O39">
        <v>44.33</v>
      </c>
      <c r="P39">
        <v>128.52000000000001</v>
      </c>
      <c r="Q39">
        <v>37.1</v>
      </c>
      <c r="R39">
        <v>298.91000000000003</v>
      </c>
      <c r="S39">
        <v>0</v>
      </c>
      <c r="T39">
        <v>672</v>
      </c>
      <c r="U39" t="s">
        <v>265</v>
      </c>
      <c r="V39">
        <v>40.067317229999993</v>
      </c>
      <c r="W39">
        <v>59.623980000000003</v>
      </c>
      <c r="X39">
        <v>73.879919999999998</v>
      </c>
      <c r="Y39">
        <v>16.667014999999999</v>
      </c>
      <c r="Z39">
        <v>20.189210249999999</v>
      </c>
      <c r="AA39">
        <v>0.74498575</v>
      </c>
      <c r="AB39">
        <v>0</v>
      </c>
      <c r="AC39">
        <v>86365.440000000002</v>
      </c>
    </row>
    <row r="40" spans="1:29">
      <c r="A40">
        <v>202503</v>
      </c>
      <c r="B40" s="46">
        <v>45717</v>
      </c>
      <c r="C40">
        <v>2025</v>
      </c>
      <c r="D40">
        <v>3</v>
      </c>
      <c r="E40" t="s">
        <v>77</v>
      </c>
      <c r="F40">
        <v>31</v>
      </c>
      <c r="G40">
        <v>743</v>
      </c>
      <c r="H40">
        <v>40563594.770000003</v>
      </c>
      <c r="I40">
        <v>54594.34</v>
      </c>
      <c r="J40">
        <v>68768.47</v>
      </c>
      <c r="K40">
        <v>37707997.770000003</v>
      </c>
      <c r="L40">
        <v>19469569.02</v>
      </c>
      <c r="M40">
        <v>17335289.75</v>
      </c>
      <c r="N40">
        <v>903139</v>
      </c>
      <c r="O40">
        <v>51.63</v>
      </c>
      <c r="P40">
        <v>94.73</v>
      </c>
      <c r="Q40">
        <v>-26.07</v>
      </c>
      <c r="R40">
        <v>280.07</v>
      </c>
      <c r="S40">
        <v>30</v>
      </c>
      <c r="T40">
        <v>743</v>
      </c>
      <c r="U40" t="s">
        <v>266</v>
      </c>
      <c r="V40">
        <v>40.563594770000002</v>
      </c>
      <c r="W40">
        <v>54.594339999999995</v>
      </c>
      <c r="X40">
        <v>68.768470000000008</v>
      </c>
      <c r="Y40">
        <v>19.469569019999998</v>
      </c>
      <c r="Z40">
        <v>17.335289750000001</v>
      </c>
      <c r="AA40">
        <v>0.90313900000000003</v>
      </c>
      <c r="AB40">
        <v>4.0376850605652798E-2</v>
      </c>
      <c r="AC40">
        <v>70384.39</v>
      </c>
    </row>
    <row r="41" spans="1:29">
      <c r="A41">
        <v>202504</v>
      </c>
      <c r="B41" s="46">
        <v>45748</v>
      </c>
      <c r="C41">
        <v>2025</v>
      </c>
      <c r="D41">
        <v>4</v>
      </c>
      <c r="E41" t="s">
        <v>78</v>
      </c>
      <c r="F41">
        <v>30</v>
      </c>
      <c r="G41">
        <v>720</v>
      </c>
      <c r="H41">
        <v>36341729.390000001</v>
      </c>
      <c r="I41">
        <v>50474.62</v>
      </c>
      <c r="J41">
        <v>64819.75</v>
      </c>
      <c r="K41">
        <v>33490498.25</v>
      </c>
      <c r="L41">
        <v>19933584.25</v>
      </c>
      <c r="M41">
        <v>12601998.75</v>
      </c>
      <c r="N41">
        <v>954915.25</v>
      </c>
      <c r="O41">
        <v>59.52</v>
      </c>
      <c r="P41">
        <v>77.94</v>
      </c>
      <c r="Q41">
        <v>-129.81</v>
      </c>
      <c r="R41">
        <v>263.2</v>
      </c>
      <c r="S41">
        <v>75</v>
      </c>
      <c r="T41">
        <v>720</v>
      </c>
      <c r="U41" t="s">
        <v>267</v>
      </c>
      <c r="V41">
        <v>36.341729389999998</v>
      </c>
      <c r="W41">
        <v>50.474620000000002</v>
      </c>
      <c r="X41">
        <v>64.819749999999999</v>
      </c>
      <c r="Y41">
        <v>19.933584249999999</v>
      </c>
      <c r="Z41">
        <v>12.60199875</v>
      </c>
      <c r="AA41">
        <v>0.95491524999999999</v>
      </c>
      <c r="AB41">
        <v>0.104166666666667</v>
      </c>
      <c r="AC41">
        <v>56116.799999999996</v>
      </c>
    </row>
    <row r="42" spans="1:29">
      <c r="A42">
        <v>202505</v>
      </c>
      <c r="B42" s="46">
        <v>45778</v>
      </c>
      <c r="C42">
        <v>2025</v>
      </c>
      <c r="D42">
        <v>5</v>
      </c>
      <c r="E42" t="s">
        <v>79</v>
      </c>
      <c r="F42">
        <v>31</v>
      </c>
      <c r="G42">
        <v>744</v>
      </c>
      <c r="H42">
        <v>36264727.810000002</v>
      </c>
      <c r="I42">
        <v>48742.91</v>
      </c>
      <c r="J42">
        <v>63699.13</v>
      </c>
      <c r="K42">
        <v>34504090</v>
      </c>
      <c r="L42">
        <v>24114296.25</v>
      </c>
      <c r="M42">
        <v>9404821.75</v>
      </c>
      <c r="N42">
        <v>984972</v>
      </c>
      <c r="O42">
        <v>69.89</v>
      </c>
      <c r="P42">
        <v>67.34</v>
      </c>
      <c r="Q42">
        <v>-250.32</v>
      </c>
      <c r="R42">
        <v>229.11</v>
      </c>
      <c r="S42">
        <v>129</v>
      </c>
      <c r="T42">
        <v>744</v>
      </c>
      <c r="U42" t="s">
        <v>268</v>
      </c>
      <c r="V42">
        <v>36.264727810000004</v>
      </c>
      <c r="W42">
        <v>48.742910000000002</v>
      </c>
      <c r="X42">
        <v>63.699129999999997</v>
      </c>
      <c r="Y42">
        <v>24.114296249999999</v>
      </c>
      <c r="Z42">
        <v>9.40482175</v>
      </c>
      <c r="AA42">
        <v>0.98497199999999996</v>
      </c>
      <c r="AB42">
        <v>0.17338709677419401</v>
      </c>
      <c r="AC42">
        <v>50100.959999999999</v>
      </c>
    </row>
    <row r="43" spans="1:29">
      <c r="A43">
        <v>202506</v>
      </c>
      <c r="B43" s="46">
        <v>45809</v>
      </c>
      <c r="C43">
        <v>2025</v>
      </c>
      <c r="D43">
        <v>6</v>
      </c>
      <c r="E43" t="s">
        <v>80</v>
      </c>
      <c r="F43">
        <v>30</v>
      </c>
      <c r="G43">
        <v>720</v>
      </c>
      <c r="H43">
        <v>35278341.43</v>
      </c>
      <c r="I43">
        <v>48997.7</v>
      </c>
      <c r="J43">
        <v>63766.42</v>
      </c>
      <c r="K43">
        <v>34502382</v>
      </c>
      <c r="L43">
        <v>25289737.25</v>
      </c>
      <c r="M43">
        <v>8295866.5</v>
      </c>
      <c r="N43">
        <v>916778.25</v>
      </c>
      <c r="O43">
        <v>73.3</v>
      </c>
      <c r="P43">
        <v>63.99</v>
      </c>
      <c r="Q43">
        <v>-99.01</v>
      </c>
      <c r="R43">
        <v>288.97000000000003</v>
      </c>
      <c r="S43">
        <v>141</v>
      </c>
      <c r="T43">
        <v>720</v>
      </c>
      <c r="U43" t="s">
        <v>269</v>
      </c>
      <c r="V43">
        <v>35.278341429999998</v>
      </c>
      <c r="W43">
        <v>48.997699999999995</v>
      </c>
      <c r="X43">
        <v>63.766419999999997</v>
      </c>
      <c r="Y43">
        <v>25.289737250000002</v>
      </c>
      <c r="Z43">
        <v>8.2958665000000007</v>
      </c>
      <c r="AA43">
        <v>0.91677825000000002</v>
      </c>
      <c r="AB43">
        <v>0.195833333333333</v>
      </c>
      <c r="AC43">
        <v>46072.800000000003</v>
      </c>
    </row>
    <row r="44" spans="1:29">
      <c r="A44">
        <v>202507</v>
      </c>
      <c r="B44" s="46">
        <v>45839</v>
      </c>
      <c r="C44">
        <v>2025</v>
      </c>
      <c r="D44">
        <v>7</v>
      </c>
      <c r="E44" t="s">
        <v>81</v>
      </c>
      <c r="F44">
        <v>31</v>
      </c>
      <c r="G44">
        <v>744</v>
      </c>
      <c r="H44">
        <v>37035779.420000002</v>
      </c>
      <c r="I44">
        <v>49779.27</v>
      </c>
      <c r="J44">
        <v>64026.38</v>
      </c>
      <c r="K44">
        <v>33616454.670000002</v>
      </c>
      <c r="L44">
        <v>21139579.920000002</v>
      </c>
      <c r="M44">
        <v>11667944.5</v>
      </c>
      <c r="N44">
        <v>808930.25</v>
      </c>
      <c r="O44">
        <v>62.88</v>
      </c>
      <c r="P44">
        <v>87.8</v>
      </c>
      <c r="Q44">
        <v>-2.2599999999999998</v>
      </c>
      <c r="R44">
        <v>476.19</v>
      </c>
      <c r="S44">
        <v>12</v>
      </c>
      <c r="T44">
        <v>744</v>
      </c>
      <c r="U44" t="s">
        <v>270</v>
      </c>
      <c r="V44">
        <v>37.035779420000004</v>
      </c>
      <c r="W44">
        <v>49.779269999999997</v>
      </c>
      <c r="X44">
        <v>64.026380000000003</v>
      </c>
      <c r="Y44">
        <v>21.139579920000003</v>
      </c>
      <c r="Z44">
        <v>11.667944500000001</v>
      </c>
      <c r="AA44">
        <v>0.80893024999999996</v>
      </c>
      <c r="AB44">
        <v>1.6129032258064498E-2</v>
      </c>
      <c r="AC44">
        <v>65323.199999999997</v>
      </c>
    </row>
    <row r="45" spans="1:29">
      <c r="A45">
        <v>202508</v>
      </c>
      <c r="B45" s="46">
        <v>45870</v>
      </c>
      <c r="C45">
        <v>2025</v>
      </c>
      <c r="D45">
        <v>8</v>
      </c>
      <c r="E45" t="s">
        <v>82</v>
      </c>
      <c r="F45">
        <v>31</v>
      </c>
      <c r="G45">
        <v>744</v>
      </c>
      <c r="H45">
        <v>35373436.100000001</v>
      </c>
      <c r="I45">
        <v>47544.94</v>
      </c>
      <c r="J45">
        <v>61810.2</v>
      </c>
      <c r="K45">
        <v>31975152.34</v>
      </c>
      <c r="L45">
        <v>21220000.09</v>
      </c>
      <c r="M45">
        <v>9912107</v>
      </c>
      <c r="N45">
        <v>843045.25</v>
      </c>
      <c r="O45">
        <v>66.36</v>
      </c>
      <c r="P45">
        <v>76.989999999999995</v>
      </c>
      <c r="Q45">
        <v>-61.08</v>
      </c>
      <c r="R45">
        <v>283.89</v>
      </c>
      <c r="S45">
        <v>64</v>
      </c>
      <c r="T45">
        <v>744</v>
      </c>
      <c r="U45" t="s">
        <v>271</v>
      </c>
      <c r="V45">
        <v>35.373436099999999</v>
      </c>
      <c r="W45">
        <v>47.544940000000004</v>
      </c>
      <c r="X45">
        <v>61.810199999999995</v>
      </c>
      <c r="Y45">
        <v>21.220000089999999</v>
      </c>
      <c r="Z45">
        <v>9.9121070000000007</v>
      </c>
      <c r="AA45">
        <v>0.84304524999999997</v>
      </c>
      <c r="AB45">
        <v>8.6021505376344107E-2</v>
      </c>
      <c r="AC45">
        <v>57280.56</v>
      </c>
    </row>
    <row r="46" spans="1:29">
      <c r="A46">
        <v>202509</v>
      </c>
      <c r="B46" s="46">
        <v>45901</v>
      </c>
      <c r="C46">
        <v>2025</v>
      </c>
      <c r="D46">
        <v>9</v>
      </c>
      <c r="E46" t="s">
        <v>83</v>
      </c>
      <c r="F46">
        <v>30</v>
      </c>
      <c r="G46">
        <v>720</v>
      </c>
      <c r="H46">
        <v>36471748.950000003</v>
      </c>
      <c r="I46">
        <v>50655.21</v>
      </c>
      <c r="J46">
        <v>65972.03</v>
      </c>
      <c r="K46">
        <v>34504646.399999999</v>
      </c>
      <c r="L46">
        <v>22642824.649999999</v>
      </c>
      <c r="M46">
        <v>11128170.5</v>
      </c>
      <c r="N46">
        <v>733651.25</v>
      </c>
      <c r="O46">
        <v>65.62</v>
      </c>
      <c r="P46">
        <v>83.51</v>
      </c>
      <c r="Q46">
        <v>-53.4</v>
      </c>
      <c r="R46">
        <v>413.66</v>
      </c>
      <c r="S46">
        <v>60</v>
      </c>
      <c r="T46">
        <v>720</v>
      </c>
      <c r="U46" t="s">
        <v>272</v>
      </c>
      <c r="V46">
        <v>36.471748950000006</v>
      </c>
      <c r="W46">
        <v>50.655209999999997</v>
      </c>
      <c r="X46">
        <v>65.972030000000004</v>
      </c>
      <c r="Y46">
        <v>22.642824649999998</v>
      </c>
      <c r="Z46">
        <v>11.1281705</v>
      </c>
      <c r="AA46">
        <v>0.73365124999999998</v>
      </c>
      <c r="AB46">
        <v>8.3333333333333301E-2</v>
      </c>
      <c r="AC46">
        <v>60127.200000000004</v>
      </c>
    </row>
    <row r="47" spans="1:29">
      <c r="A47">
        <v>202510</v>
      </c>
      <c r="B47" s="46">
        <v>45931</v>
      </c>
      <c r="C47">
        <v>2025</v>
      </c>
      <c r="D47">
        <v>10</v>
      </c>
      <c r="E47" t="s">
        <v>84</v>
      </c>
      <c r="F47">
        <v>31</v>
      </c>
      <c r="G47">
        <v>745</v>
      </c>
      <c r="H47">
        <v>40475526.450000003</v>
      </c>
      <c r="I47">
        <v>54329.57</v>
      </c>
      <c r="J47">
        <v>69184.45</v>
      </c>
      <c r="K47">
        <v>39711732.810000002</v>
      </c>
      <c r="L47">
        <v>24470605.359999999</v>
      </c>
      <c r="M47">
        <v>14484390.35</v>
      </c>
      <c r="N47">
        <v>756737.1</v>
      </c>
      <c r="O47">
        <v>61.62</v>
      </c>
      <c r="P47">
        <v>84.4</v>
      </c>
      <c r="Q47">
        <v>-4.9800000000000004</v>
      </c>
      <c r="R47">
        <v>407.21</v>
      </c>
      <c r="S47">
        <v>48</v>
      </c>
      <c r="T47">
        <v>745</v>
      </c>
      <c r="U47" t="s">
        <v>273</v>
      </c>
      <c r="V47">
        <v>40.475526450000004</v>
      </c>
      <c r="W47">
        <v>54.329569999999997</v>
      </c>
      <c r="X47">
        <v>69.184449999999998</v>
      </c>
      <c r="Y47">
        <v>24.47060536</v>
      </c>
      <c r="Z47">
        <v>14.48439035</v>
      </c>
      <c r="AA47">
        <v>0.75673709999999994</v>
      </c>
      <c r="AB47">
        <v>6.4429530201342303E-2</v>
      </c>
      <c r="AC47">
        <v>62878.000000000007</v>
      </c>
    </row>
    <row r="48" spans="1:29">
      <c r="A48">
        <v>202511</v>
      </c>
      <c r="B48" s="46">
        <v>45962</v>
      </c>
      <c r="C48">
        <v>2025</v>
      </c>
      <c r="D48">
        <v>11</v>
      </c>
      <c r="E48" t="s">
        <v>85</v>
      </c>
      <c r="F48">
        <v>30</v>
      </c>
      <c r="G48">
        <v>720</v>
      </c>
      <c r="H48">
        <v>41470312.229999997</v>
      </c>
      <c r="I48">
        <v>57597.66</v>
      </c>
      <c r="J48">
        <v>75635.210000000006</v>
      </c>
      <c r="K48">
        <v>38420121.82</v>
      </c>
      <c r="L48">
        <v>19114679.739999998</v>
      </c>
      <c r="M48">
        <v>18631879.73</v>
      </c>
      <c r="N48">
        <v>673562.35</v>
      </c>
      <c r="O48">
        <v>49.75</v>
      </c>
      <c r="P48">
        <v>101.88</v>
      </c>
      <c r="Q48">
        <v>4.93</v>
      </c>
      <c r="R48">
        <v>373.31</v>
      </c>
      <c r="S48">
        <v>0</v>
      </c>
      <c r="T48">
        <v>720</v>
      </c>
      <c r="U48" t="s">
        <v>274</v>
      </c>
      <c r="V48">
        <v>41.470312229999998</v>
      </c>
      <c r="W48">
        <v>57.597660000000005</v>
      </c>
      <c r="X48">
        <v>75.635210000000001</v>
      </c>
      <c r="Y48">
        <v>19.11467974</v>
      </c>
      <c r="Z48">
        <v>18.631879730000001</v>
      </c>
      <c r="AA48">
        <v>0.67356234999999998</v>
      </c>
      <c r="AB48">
        <v>0</v>
      </c>
      <c r="AC48">
        <v>73353.599999999991</v>
      </c>
    </row>
    <row r="49" spans="1:29">
      <c r="A49">
        <v>202512</v>
      </c>
      <c r="B49" s="46">
        <v>45992</v>
      </c>
      <c r="C49">
        <v>2025</v>
      </c>
      <c r="D49">
        <v>12</v>
      </c>
      <c r="E49" t="s">
        <v>86</v>
      </c>
      <c r="F49">
        <v>31</v>
      </c>
      <c r="G49">
        <v>744</v>
      </c>
      <c r="H49">
        <v>42304479.649999999</v>
      </c>
      <c r="I49">
        <v>56860.86</v>
      </c>
      <c r="J49">
        <v>73852.2</v>
      </c>
      <c r="K49">
        <v>39429885.490000002</v>
      </c>
      <c r="L49">
        <v>21712494.609999999</v>
      </c>
      <c r="M49">
        <v>16997674.640000001</v>
      </c>
      <c r="N49">
        <v>719716.24</v>
      </c>
      <c r="O49">
        <v>55.07</v>
      </c>
      <c r="P49">
        <v>93.47</v>
      </c>
      <c r="Q49">
        <v>3.51</v>
      </c>
      <c r="R49">
        <v>308.35000000000002</v>
      </c>
      <c r="S49">
        <v>0</v>
      </c>
      <c r="T49">
        <v>744</v>
      </c>
      <c r="U49" t="s">
        <v>275</v>
      </c>
      <c r="V49">
        <v>42.304479649999998</v>
      </c>
      <c r="W49">
        <v>56.860860000000002</v>
      </c>
      <c r="X49">
        <v>73.852199999999996</v>
      </c>
      <c r="Y49">
        <v>21.71249461</v>
      </c>
      <c r="Z49">
        <v>16.99767464</v>
      </c>
      <c r="AA49">
        <v>0.71971624000000001</v>
      </c>
      <c r="AB49">
        <v>0</v>
      </c>
      <c r="AC49">
        <v>69541.679999999993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tabSelected="1" topLeftCell="B1" workbookViewId="0">
      <selection activeCell="B16" sqref="B16:H16"/>
    </sheetView>
  </sheetViews>
  <sheetFormatPr defaultRowHeight="13.8"/>
  <cols>
    <col min="1" max="1" width="23" customWidth="1"/>
    <col min="2" max="2" width="72" customWidth="1"/>
    <col min="3" max="8" width="10" customWidth="1"/>
  </cols>
  <sheetData>
    <row r="1" spans="1:8">
      <c r="A1" s="50" t="s">
        <v>16</v>
      </c>
      <c r="B1" s="50" t="s">
        <v>16</v>
      </c>
      <c r="C1" s="50" t="s">
        <v>16</v>
      </c>
      <c r="D1" s="50" t="s">
        <v>16</v>
      </c>
      <c r="E1" s="50" t="s">
        <v>16</v>
      </c>
      <c r="F1" s="50" t="s">
        <v>16</v>
      </c>
      <c r="G1" s="50" t="s">
        <v>16</v>
      </c>
      <c r="H1" s="50" t="s">
        <v>16</v>
      </c>
    </row>
    <row r="2" spans="1:8">
      <c r="A2" s="50" t="s">
        <v>16</v>
      </c>
      <c r="B2" s="50" t="s">
        <v>16</v>
      </c>
      <c r="C2" s="50" t="s">
        <v>16</v>
      </c>
      <c r="D2" s="50" t="s">
        <v>16</v>
      </c>
      <c r="E2" s="50" t="s">
        <v>16</v>
      </c>
      <c r="F2" s="50" t="s">
        <v>16</v>
      </c>
      <c r="G2" s="50" t="s">
        <v>16</v>
      </c>
      <c r="H2" s="50" t="s">
        <v>16</v>
      </c>
    </row>
    <row r="3" spans="1:8">
      <c r="A3" s="51" t="s">
        <v>17</v>
      </c>
      <c r="B3" s="51" t="s">
        <v>17</v>
      </c>
      <c r="C3" s="51" t="s">
        <v>17</v>
      </c>
      <c r="D3" s="51" t="s">
        <v>17</v>
      </c>
      <c r="E3" s="51" t="s">
        <v>17</v>
      </c>
      <c r="F3" s="51" t="s">
        <v>17</v>
      </c>
      <c r="G3" s="51" t="s">
        <v>17</v>
      </c>
      <c r="H3" s="51" t="s">
        <v>17</v>
      </c>
    </row>
    <row r="4" spans="1:8" ht="14.4">
      <c r="A4" s="1"/>
      <c r="B4" s="1"/>
      <c r="C4" s="1"/>
      <c r="D4" s="1"/>
      <c r="E4" s="1"/>
      <c r="F4" s="1"/>
      <c r="G4" s="1"/>
      <c r="H4" s="1"/>
    </row>
    <row r="5" spans="1:8" ht="14.4">
      <c r="A5" s="52" t="s">
        <v>18</v>
      </c>
      <c r="B5" s="52" t="s">
        <v>18</v>
      </c>
      <c r="C5" s="1"/>
      <c r="D5" s="1"/>
      <c r="E5" s="1"/>
      <c r="F5" s="1"/>
      <c r="G5" s="1"/>
      <c r="H5" s="1"/>
    </row>
    <row r="6" spans="1:8" ht="14.4">
      <c r="A6" s="1"/>
      <c r="B6" s="1"/>
      <c r="C6" s="1"/>
      <c r="D6" s="1"/>
      <c r="E6" s="1"/>
      <c r="F6" s="1"/>
      <c r="G6" s="1"/>
      <c r="H6" s="1"/>
    </row>
    <row r="7" spans="1:8" ht="14.4">
      <c r="A7" s="1" t="s">
        <v>19</v>
      </c>
      <c r="B7" s="1" t="s">
        <v>20</v>
      </c>
      <c r="C7" s="1"/>
      <c r="D7" s="1"/>
      <c r="E7" s="1"/>
      <c r="F7" s="1"/>
      <c r="G7" s="1"/>
      <c r="H7" s="1"/>
    </row>
    <row r="8" spans="1:8" ht="14.4">
      <c r="A8" s="1" t="s">
        <v>21</v>
      </c>
      <c r="B8" s="1" t="s">
        <v>280</v>
      </c>
      <c r="C8" s="1"/>
      <c r="D8" s="1"/>
      <c r="E8" s="1"/>
      <c r="F8" s="1"/>
      <c r="G8" s="1"/>
      <c r="H8" s="1"/>
    </row>
    <row r="9" spans="1:8" ht="14.4">
      <c r="A9" s="1" t="s">
        <v>22</v>
      </c>
      <c r="B9" s="1" t="s">
        <v>23</v>
      </c>
      <c r="C9" s="1"/>
      <c r="D9" s="1"/>
      <c r="E9" s="1"/>
      <c r="F9" s="1"/>
      <c r="G9" s="1"/>
      <c r="H9" s="1"/>
    </row>
    <row r="10" spans="1:8" ht="14.4">
      <c r="A10" s="1"/>
      <c r="B10" s="1"/>
      <c r="C10" s="1"/>
      <c r="D10" s="1"/>
      <c r="E10" s="1"/>
      <c r="F10" s="1"/>
      <c r="G10" s="1"/>
      <c r="H10" s="1"/>
    </row>
    <row r="11" spans="1:8" ht="14.4">
      <c r="A11" s="53" t="s">
        <v>24</v>
      </c>
      <c r="B11" s="53" t="s">
        <v>24</v>
      </c>
      <c r="C11" s="53" t="s">
        <v>24</v>
      </c>
      <c r="D11" s="53" t="s">
        <v>24</v>
      </c>
      <c r="E11" s="53" t="s">
        <v>24</v>
      </c>
      <c r="F11" s="53" t="s">
        <v>24</v>
      </c>
      <c r="G11" s="53" t="s">
        <v>24</v>
      </c>
      <c r="H11" s="53" t="s">
        <v>24</v>
      </c>
    </row>
    <row r="12" spans="1:8" ht="14.4">
      <c r="A12" s="2" t="s">
        <v>25</v>
      </c>
      <c r="B12" s="54" t="s">
        <v>26</v>
      </c>
      <c r="C12" s="54"/>
      <c r="D12" s="54"/>
      <c r="E12" s="54"/>
      <c r="F12" s="54"/>
      <c r="G12" s="54"/>
      <c r="H12" s="54"/>
    </row>
    <row r="13" spans="1:8" ht="14.4">
      <c r="A13" s="2" t="s">
        <v>27</v>
      </c>
      <c r="B13" s="54" t="s">
        <v>28</v>
      </c>
      <c r="C13" s="54"/>
      <c r="D13" s="54"/>
      <c r="E13" s="54"/>
      <c r="F13" s="54"/>
      <c r="G13" s="54"/>
      <c r="H13" s="54"/>
    </row>
    <row r="14" spans="1:8" ht="14.4">
      <c r="A14" s="2" t="s">
        <v>29</v>
      </c>
      <c r="B14" s="54" t="s">
        <v>30</v>
      </c>
      <c r="C14" s="54"/>
      <c r="D14" s="54"/>
      <c r="E14" s="54"/>
      <c r="F14" s="54"/>
      <c r="G14" s="54"/>
      <c r="H14" s="54"/>
    </row>
    <row r="15" spans="1:8" ht="14.4">
      <c r="A15" s="2" t="s">
        <v>31</v>
      </c>
      <c r="B15" s="54" t="s">
        <v>32</v>
      </c>
      <c r="C15" s="54"/>
      <c r="D15" s="54"/>
      <c r="E15" s="54"/>
      <c r="F15" s="54"/>
      <c r="G15" s="54"/>
      <c r="H15" s="54"/>
    </row>
    <row r="16" spans="1:8" ht="14.4">
      <c r="A16" s="2" t="s">
        <v>33</v>
      </c>
      <c r="B16" s="54" t="s">
        <v>34</v>
      </c>
      <c r="C16" s="54"/>
      <c r="D16" s="54"/>
      <c r="E16" s="54"/>
      <c r="F16" s="54"/>
      <c r="G16" s="54"/>
      <c r="H16" s="54"/>
    </row>
    <row r="17" spans="1:8" ht="14.4">
      <c r="A17" s="1"/>
      <c r="B17" s="1"/>
      <c r="C17" s="1"/>
      <c r="D17" s="1"/>
      <c r="E17" s="1"/>
      <c r="F17" s="1"/>
      <c r="G17" s="1"/>
      <c r="H17" s="1"/>
    </row>
    <row r="18" spans="1:8" ht="14.4">
      <c r="A18" s="52" t="s">
        <v>35</v>
      </c>
      <c r="B18" s="52" t="s">
        <v>35</v>
      </c>
      <c r="C18" s="52" t="s">
        <v>35</v>
      </c>
      <c r="D18" s="52" t="s">
        <v>35</v>
      </c>
      <c r="E18" s="52" t="s">
        <v>35</v>
      </c>
      <c r="F18" s="52" t="s">
        <v>35</v>
      </c>
      <c r="G18" s="52" t="s">
        <v>35</v>
      </c>
      <c r="H18" s="52" t="s">
        <v>35</v>
      </c>
    </row>
    <row r="19" spans="1:8" ht="14.4">
      <c r="A19" s="3" t="s">
        <v>36</v>
      </c>
      <c r="B19" s="4" t="s">
        <v>37</v>
      </c>
      <c r="C19" s="1"/>
      <c r="D19" s="1"/>
      <c r="E19" s="1"/>
      <c r="F19" s="1"/>
      <c r="G19" s="1"/>
      <c r="H19" s="1"/>
    </row>
    <row r="20" spans="1:8" ht="14.4">
      <c r="A20" s="3" t="s">
        <v>38</v>
      </c>
      <c r="B20" s="4" t="s">
        <v>39</v>
      </c>
      <c r="C20" s="1"/>
      <c r="D20" s="1"/>
      <c r="E20" s="1"/>
      <c r="F20" s="1"/>
      <c r="G20" s="1"/>
      <c r="H20" s="1"/>
    </row>
    <row r="21" spans="1:8" ht="14.4">
      <c r="A21" s="3" t="s">
        <v>40</v>
      </c>
      <c r="B21" s="4" t="s">
        <v>41</v>
      </c>
      <c r="C21" s="1"/>
      <c r="D21" s="1"/>
      <c r="E21" s="1"/>
      <c r="F21" s="1"/>
      <c r="G21" s="1"/>
      <c r="H21" s="1"/>
    </row>
    <row r="22" spans="1:8" ht="14.4">
      <c r="A22" s="3" t="s">
        <v>42</v>
      </c>
      <c r="B22" s="4" t="s">
        <v>43</v>
      </c>
      <c r="C22" s="1"/>
      <c r="D22" s="1"/>
      <c r="E22" s="1"/>
      <c r="F22" s="1"/>
      <c r="G22" s="1"/>
      <c r="H22" s="1"/>
    </row>
    <row r="23" spans="1:8" ht="14.4">
      <c r="A23" s="3" t="s">
        <v>44</v>
      </c>
      <c r="B23" s="4" t="s">
        <v>45</v>
      </c>
      <c r="C23" s="1"/>
      <c r="D23" s="1"/>
      <c r="E23" s="1"/>
      <c r="F23" s="1"/>
      <c r="G23" s="1"/>
      <c r="H23" s="1"/>
    </row>
  </sheetData>
  <mergeCells count="10">
    <mergeCell ref="B13:H13"/>
    <mergeCell ref="B14:H14"/>
    <mergeCell ref="B15:H15"/>
    <mergeCell ref="B16:H16"/>
    <mergeCell ref="A18:H18"/>
    <mergeCell ref="A1:H2"/>
    <mergeCell ref="A3:H3"/>
    <mergeCell ref="A5:B5"/>
    <mergeCell ref="A11:H11"/>
    <mergeCell ref="B12:H1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9"/>
  <sheetViews>
    <sheetView showGridLines="0" workbookViewId="0"/>
  </sheetViews>
  <sheetFormatPr defaultRowHeight="13.8"/>
  <cols>
    <col min="1" max="1" width="18" customWidth="1"/>
    <col min="2" max="2" width="13" customWidth="1"/>
    <col min="3" max="4" width="18" customWidth="1"/>
    <col min="5" max="5" width="14" customWidth="1"/>
    <col min="6" max="20" width="18" customWidth="1"/>
    <col min="21" max="21" width="12" customWidth="1"/>
    <col min="22" max="29" width="18" customWidth="1"/>
  </cols>
  <sheetData>
    <row r="1" spans="1:29" ht="42" customHeight="1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71</v>
      </c>
      <c r="AA1" s="5" t="s">
        <v>72</v>
      </c>
      <c r="AB1" s="5" t="s">
        <v>73</v>
      </c>
      <c r="AC1" s="5" t="s">
        <v>74</v>
      </c>
    </row>
    <row r="2" spans="1:29">
      <c r="A2" s="6">
        <v>202201</v>
      </c>
      <c r="B2" s="7">
        <v>44562</v>
      </c>
      <c r="C2" s="6">
        <v>2022</v>
      </c>
      <c r="D2" s="6">
        <v>1</v>
      </c>
      <c r="E2" s="6" t="s">
        <v>75</v>
      </c>
      <c r="F2" s="6">
        <v>31</v>
      </c>
      <c r="G2" s="6">
        <v>744</v>
      </c>
      <c r="H2" s="8">
        <v>46287079</v>
      </c>
      <c r="I2" s="8">
        <v>62213.82</v>
      </c>
      <c r="J2" s="8">
        <v>78152.25</v>
      </c>
      <c r="K2" s="8">
        <v>48398976.75</v>
      </c>
      <c r="L2" s="8">
        <v>21504007.5</v>
      </c>
      <c r="M2" s="8">
        <v>26075881.5</v>
      </c>
      <c r="N2" s="8">
        <v>819087.75</v>
      </c>
      <c r="O2" s="9">
        <v>44.43</v>
      </c>
      <c r="P2" s="10">
        <v>167.73</v>
      </c>
      <c r="Q2" s="10">
        <v>-1.05</v>
      </c>
      <c r="R2" s="10">
        <v>399.85</v>
      </c>
      <c r="S2" s="6">
        <v>4</v>
      </c>
      <c r="T2" s="6">
        <v>0</v>
      </c>
      <c r="U2" s="6" t="str">
        <f t="shared" ref="U2:U49" si="0">YEAR(B2)&amp;"-"&amp;RIGHT("0"&amp;MONTH(B2),2)</f>
        <v>2022-01</v>
      </c>
      <c r="V2" s="11">
        <f t="shared" ref="V2:V49" si="1">H2/1000000</f>
        <v>46.287078999999999</v>
      </c>
      <c r="W2" s="11">
        <f t="shared" ref="W2:W49" si="2">I2/1000</f>
        <v>62.213819999999998</v>
      </c>
      <c r="X2" s="11">
        <f t="shared" ref="X2:X49" si="3">J2/1000</f>
        <v>78.152249999999995</v>
      </c>
      <c r="Y2" s="11">
        <f t="shared" ref="Y2:Y49" si="4">L2/1000000</f>
        <v>21.5040075</v>
      </c>
      <c r="Z2" s="11">
        <f t="shared" ref="Z2:Z49" si="5">M2/1000000</f>
        <v>26.075881500000001</v>
      </c>
      <c r="AA2" s="11">
        <f t="shared" ref="AA2:AA49" si="6">N2/1000000</f>
        <v>0.81908775</v>
      </c>
      <c r="AB2" s="12">
        <f t="shared" ref="AB2:AB49" si="7">S2/G2</f>
        <v>5.3763440860215058E-3</v>
      </c>
      <c r="AC2" s="8">
        <f t="shared" ref="AC2:AC49" si="8">P2*G2</f>
        <v>124791.12</v>
      </c>
    </row>
    <row r="3" spans="1:29">
      <c r="A3" s="6">
        <v>202202</v>
      </c>
      <c r="B3" s="7">
        <v>44593</v>
      </c>
      <c r="C3" s="6">
        <v>2022</v>
      </c>
      <c r="D3" s="6">
        <v>2</v>
      </c>
      <c r="E3" s="6" t="s">
        <v>76</v>
      </c>
      <c r="F3" s="6">
        <v>28</v>
      </c>
      <c r="G3" s="6">
        <v>672</v>
      </c>
      <c r="H3" s="8">
        <v>42317899</v>
      </c>
      <c r="I3" s="8">
        <v>62973.06</v>
      </c>
      <c r="J3" s="8">
        <v>78680.5</v>
      </c>
      <c r="K3" s="8">
        <v>46915026.25</v>
      </c>
      <c r="L3" s="8">
        <v>26781675.25</v>
      </c>
      <c r="M3" s="8">
        <v>19446324.25</v>
      </c>
      <c r="N3" s="8">
        <v>687026.75</v>
      </c>
      <c r="O3" s="9">
        <v>57.09</v>
      </c>
      <c r="P3" s="10">
        <v>128.80000000000001</v>
      </c>
      <c r="Q3" s="10">
        <v>-0.52</v>
      </c>
      <c r="R3" s="10">
        <v>322.89999999999998</v>
      </c>
      <c r="S3" s="6">
        <v>4</v>
      </c>
      <c r="T3" s="6">
        <v>0</v>
      </c>
      <c r="U3" s="6" t="str">
        <f t="shared" si="0"/>
        <v>2022-02</v>
      </c>
      <c r="V3" s="11">
        <f t="shared" si="1"/>
        <v>42.317898999999997</v>
      </c>
      <c r="W3" s="11">
        <f t="shared" si="2"/>
        <v>62.973059999999997</v>
      </c>
      <c r="X3" s="11">
        <f t="shared" si="3"/>
        <v>78.680499999999995</v>
      </c>
      <c r="Y3" s="11">
        <f t="shared" si="4"/>
        <v>26.781675249999999</v>
      </c>
      <c r="Z3" s="11">
        <f t="shared" si="5"/>
        <v>19.44632425</v>
      </c>
      <c r="AA3" s="11">
        <f t="shared" si="6"/>
        <v>0.68702675000000002</v>
      </c>
      <c r="AB3" s="12">
        <f t="shared" si="7"/>
        <v>5.9523809523809521E-3</v>
      </c>
      <c r="AC3" s="8">
        <f t="shared" si="8"/>
        <v>86553.600000000006</v>
      </c>
    </row>
    <row r="4" spans="1:29">
      <c r="A4" s="6">
        <v>202203</v>
      </c>
      <c r="B4" s="7">
        <v>44621</v>
      </c>
      <c r="C4" s="6">
        <v>2022</v>
      </c>
      <c r="D4" s="6">
        <v>3</v>
      </c>
      <c r="E4" s="6" t="s">
        <v>77</v>
      </c>
      <c r="F4" s="6">
        <v>31</v>
      </c>
      <c r="G4" s="6">
        <v>743</v>
      </c>
      <c r="H4" s="8">
        <v>43923259.5</v>
      </c>
      <c r="I4" s="8">
        <v>59116.1</v>
      </c>
      <c r="J4" s="8">
        <v>71826</v>
      </c>
      <c r="K4" s="8">
        <v>45576779.25</v>
      </c>
      <c r="L4" s="8">
        <v>18129298</v>
      </c>
      <c r="M4" s="8">
        <v>26676979.75</v>
      </c>
      <c r="N4" s="8">
        <v>770501.5</v>
      </c>
      <c r="O4" s="9">
        <v>39.78</v>
      </c>
      <c r="P4" s="10">
        <v>252.01</v>
      </c>
      <c r="Q4" s="10">
        <v>-19.04</v>
      </c>
      <c r="R4" s="10">
        <v>700</v>
      </c>
      <c r="S4" s="6">
        <v>6</v>
      </c>
      <c r="T4" s="6">
        <v>0</v>
      </c>
      <c r="U4" s="6" t="str">
        <f t="shared" si="0"/>
        <v>2022-03</v>
      </c>
      <c r="V4" s="11">
        <f t="shared" si="1"/>
        <v>43.9232595</v>
      </c>
      <c r="W4" s="11">
        <f t="shared" si="2"/>
        <v>59.116099999999996</v>
      </c>
      <c r="X4" s="11">
        <f t="shared" si="3"/>
        <v>71.825999999999993</v>
      </c>
      <c r="Y4" s="11">
        <f t="shared" si="4"/>
        <v>18.129297999999999</v>
      </c>
      <c r="Z4" s="11">
        <f t="shared" si="5"/>
        <v>26.676979750000001</v>
      </c>
      <c r="AA4" s="11">
        <f t="shared" si="6"/>
        <v>0.77050149999999995</v>
      </c>
      <c r="AB4" s="12">
        <f t="shared" si="7"/>
        <v>8.0753701211305519E-3</v>
      </c>
      <c r="AC4" s="8">
        <f t="shared" si="8"/>
        <v>187243.43</v>
      </c>
    </row>
    <row r="5" spans="1:29">
      <c r="A5" s="6">
        <v>202204</v>
      </c>
      <c r="B5" s="7">
        <v>44652</v>
      </c>
      <c r="C5" s="6">
        <v>2022</v>
      </c>
      <c r="D5" s="6">
        <v>4</v>
      </c>
      <c r="E5" s="6" t="s">
        <v>78</v>
      </c>
      <c r="F5" s="6">
        <v>30</v>
      </c>
      <c r="G5" s="6">
        <v>720</v>
      </c>
      <c r="H5" s="8">
        <v>40131877.25</v>
      </c>
      <c r="I5" s="8">
        <v>55738.720000000001</v>
      </c>
      <c r="J5" s="8">
        <v>75903.5</v>
      </c>
      <c r="K5" s="8">
        <v>42519756.5</v>
      </c>
      <c r="L5" s="8">
        <v>21451593.75</v>
      </c>
      <c r="M5" s="8">
        <v>20342486</v>
      </c>
      <c r="N5" s="8">
        <v>725676.75</v>
      </c>
      <c r="O5" s="9">
        <v>50.45</v>
      </c>
      <c r="P5" s="10">
        <v>165.73</v>
      </c>
      <c r="Q5" s="10">
        <v>-2.4900000000000002</v>
      </c>
      <c r="R5" s="10">
        <v>309.93</v>
      </c>
      <c r="S5" s="6">
        <v>5</v>
      </c>
      <c r="T5" s="6">
        <v>0</v>
      </c>
      <c r="U5" s="6" t="str">
        <f t="shared" si="0"/>
        <v>2022-04</v>
      </c>
      <c r="V5" s="11">
        <f t="shared" si="1"/>
        <v>40.131877250000002</v>
      </c>
      <c r="W5" s="11">
        <f t="shared" si="2"/>
        <v>55.738720000000001</v>
      </c>
      <c r="X5" s="11">
        <f t="shared" si="3"/>
        <v>75.903499999999994</v>
      </c>
      <c r="Y5" s="11">
        <f t="shared" si="4"/>
        <v>21.451593750000001</v>
      </c>
      <c r="Z5" s="11">
        <f t="shared" si="5"/>
        <v>20.342486000000001</v>
      </c>
      <c r="AA5" s="11">
        <f t="shared" si="6"/>
        <v>0.72567674999999998</v>
      </c>
      <c r="AB5" s="12">
        <f t="shared" si="7"/>
        <v>6.9444444444444441E-3</v>
      </c>
      <c r="AC5" s="8">
        <f t="shared" si="8"/>
        <v>119325.59999999999</v>
      </c>
    </row>
    <row r="6" spans="1:29">
      <c r="A6" s="6">
        <v>202205</v>
      </c>
      <c r="B6" s="7">
        <v>44682</v>
      </c>
      <c r="C6" s="6">
        <v>2022</v>
      </c>
      <c r="D6" s="6">
        <v>5</v>
      </c>
      <c r="E6" s="6" t="s">
        <v>79</v>
      </c>
      <c r="F6" s="6">
        <v>31</v>
      </c>
      <c r="G6" s="6">
        <v>744</v>
      </c>
      <c r="H6" s="8">
        <v>39880332.5</v>
      </c>
      <c r="I6" s="8">
        <v>53602.6</v>
      </c>
      <c r="J6" s="8">
        <v>69070</v>
      </c>
      <c r="K6" s="8">
        <v>38125370.25</v>
      </c>
      <c r="L6" s="8">
        <v>20089724.25</v>
      </c>
      <c r="M6" s="8">
        <v>17284558.5</v>
      </c>
      <c r="N6" s="8">
        <v>751087.5</v>
      </c>
      <c r="O6" s="9">
        <v>52.69</v>
      </c>
      <c r="P6" s="10">
        <v>177.48</v>
      </c>
      <c r="Q6" s="10">
        <v>-13.85</v>
      </c>
      <c r="R6" s="10">
        <v>298.20999999999998</v>
      </c>
      <c r="S6" s="6">
        <v>16</v>
      </c>
      <c r="T6" s="6">
        <v>0</v>
      </c>
      <c r="U6" s="6" t="str">
        <f t="shared" si="0"/>
        <v>2022-05</v>
      </c>
      <c r="V6" s="11">
        <f t="shared" si="1"/>
        <v>39.880332500000002</v>
      </c>
      <c r="W6" s="11">
        <f t="shared" si="2"/>
        <v>53.602599999999995</v>
      </c>
      <c r="X6" s="11">
        <f t="shared" si="3"/>
        <v>69.069999999999993</v>
      </c>
      <c r="Y6" s="11">
        <f t="shared" si="4"/>
        <v>20.08972425</v>
      </c>
      <c r="Z6" s="11">
        <f t="shared" si="5"/>
        <v>17.284558499999999</v>
      </c>
      <c r="AA6" s="11">
        <f t="shared" si="6"/>
        <v>0.75108750000000002</v>
      </c>
      <c r="AB6" s="12">
        <f t="shared" si="7"/>
        <v>2.1505376344086023E-2</v>
      </c>
      <c r="AC6" s="8">
        <f t="shared" si="8"/>
        <v>132045.12</v>
      </c>
    </row>
    <row r="7" spans="1:29">
      <c r="A7" s="6">
        <v>202206</v>
      </c>
      <c r="B7" s="7">
        <v>44713</v>
      </c>
      <c r="C7" s="6">
        <v>2022</v>
      </c>
      <c r="D7" s="6">
        <v>6</v>
      </c>
      <c r="E7" s="6" t="s">
        <v>80</v>
      </c>
      <c r="F7" s="6">
        <v>30</v>
      </c>
      <c r="G7" s="6">
        <v>720</v>
      </c>
      <c r="H7" s="8">
        <v>37360445</v>
      </c>
      <c r="I7" s="8">
        <v>51889.51</v>
      </c>
      <c r="J7" s="8">
        <v>65747.25</v>
      </c>
      <c r="K7" s="8">
        <v>36809854.5</v>
      </c>
      <c r="L7" s="8">
        <v>17997421.75</v>
      </c>
      <c r="M7" s="8">
        <v>17983193.5</v>
      </c>
      <c r="N7" s="8">
        <v>829239.25</v>
      </c>
      <c r="O7" s="9">
        <v>48.89</v>
      </c>
      <c r="P7" s="10">
        <v>218.03</v>
      </c>
      <c r="Q7" s="10">
        <v>-0.59</v>
      </c>
      <c r="R7" s="10">
        <v>500</v>
      </c>
      <c r="S7" s="6">
        <v>3</v>
      </c>
      <c r="T7" s="6">
        <v>0</v>
      </c>
      <c r="U7" s="6" t="str">
        <f t="shared" si="0"/>
        <v>2022-06</v>
      </c>
      <c r="V7" s="11">
        <f t="shared" si="1"/>
        <v>37.360444999999999</v>
      </c>
      <c r="W7" s="11">
        <f t="shared" si="2"/>
        <v>51.889510000000001</v>
      </c>
      <c r="X7" s="11">
        <f t="shared" si="3"/>
        <v>65.747249999999994</v>
      </c>
      <c r="Y7" s="11">
        <f t="shared" si="4"/>
        <v>17.997421750000001</v>
      </c>
      <c r="Z7" s="11">
        <f t="shared" si="5"/>
        <v>17.983193499999999</v>
      </c>
      <c r="AA7" s="11">
        <f t="shared" si="6"/>
        <v>0.82923924999999998</v>
      </c>
      <c r="AB7" s="12">
        <f t="shared" si="7"/>
        <v>4.1666666666666666E-3</v>
      </c>
      <c r="AC7" s="8">
        <f t="shared" si="8"/>
        <v>156981.6</v>
      </c>
    </row>
    <row r="8" spans="1:29">
      <c r="A8" s="6">
        <v>202207</v>
      </c>
      <c r="B8" s="7">
        <v>44743</v>
      </c>
      <c r="C8" s="6">
        <v>2022</v>
      </c>
      <c r="D8" s="6">
        <v>7</v>
      </c>
      <c r="E8" s="6" t="s">
        <v>81</v>
      </c>
      <c r="F8" s="6">
        <v>31</v>
      </c>
      <c r="G8" s="6">
        <v>744</v>
      </c>
      <c r="H8" s="8">
        <v>38359781.75</v>
      </c>
      <c r="I8" s="8">
        <v>51558.85</v>
      </c>
      <c r="J8" s="8">
        <v>67201.5</v>
      </c>
      <c r="K8" s="8">
        <v>41808608</v>
      </c>
      <c r="L8" s="8">
        <v>19401326.25</v>
      </c>
      <c r="M8" s="8">
        <v>21458211</v>
      </c>
      <c r="N8" s="8">
        <v>949070.75</v>
      </c>
      <c r="O8" s="9">
        <v>46.41</v>
      </c>
      <c r="P8" s="10">
        <v>315</v>
      </c>
      <c r="Q8" s="10">
        <v>-0.1</v>
      </c>
      <c r="R8" s="10">
        <v>679.54</v>
      </c>
      <c r="S8" s="6">
        <v>2</v>
      </c>
      <c r="T8" s="6">
        <v>0</v>
      </c>
      <c r="U8" s="6" t="str">
        <f t="shared" si="0"/>
        <v>2022-07</v>
      </c>
      <c r="V8" s="11">
        <f t="shared" si="1"/>
        <v>38.359781750000003</v>
      </c>
      <c r="W8" s="11">
        <f t="shared" si="2"/>
        <v>51.55885</v>
      </c>
      <c r="X8" s="11">
        <f t="shared" si="3"/>
        <v>67.201499999999996</v>
      </c>
      <c r="Y8" s="11">
        <f t="shared" si="4"/>
        <v>19.40132625</v>
      </c>
      <c r="Z8" s="11">
        <f t="shared" si="5"/>
        <v>21.458210999999999</v>
      </c>
      <c r="AA8" s="11">
        <f t="shared" si="6"/>
        <v>0.94907074999999996</v>
      </c>
      <c r="AB8" s="12">
        <f t="shared" si="7"/>
        <v>2.6881720430107529E-3</v>
      </c>
      <c r="AC8" s="8">
        <f t="shared" si="8"/>
        <v>234360</v>
      </c>
    </row>
    <row r="9" spans="1:29">
      <c r="A9" s="6">
        <v>202208</v>
      </c>
      <c r="B9" s="7">
        <v>44774</v>
      </c>
      <c r="C9" s="6">
        <v>2022</v>
      </c>
      <c r="D9" s="6">
        <v>8</v>
      </c>
      <c r="E9" s="6" t="s">
        <v>82</v>
      </c>
      <c r="F9" s="6">
        <v>31</v>
      </c>
      <c r="G9" s="6">
        <v>744</v>
      </c>
      <c r="H9" s="8">
        <v>37448427</v>
      </c>
      <c r="I9" s="8">
        <v>50333.91</v>
      </c>
      <c r="J9" s="8">
        <v>64180</v>
      </c>
      <c r="K9" s="8">
        <v>37772540.5</v>
      </c>
      <c r="L9" s="8">
        <v>16011791.5</v>
      </c>
      <c r="M9" s="8">
        <v>20966857.25</v>
      </c>
      <c r="N9" s="8">
        <v>793891.75</v>
      </c>
      <c r="O9" s="9">
        <v>42.39</v>
      </c>
      <c r="P9" s="10">
        <v>465.18</v>
      </c>
      <c r="Q9" s="10">
        <v>13.29</v>
      </c>
      <c r="R9" s="10">
        <v>871</v>
      </c>
      <c r="S9" s="6">
        <v>0</v>
      </c>
      <c r="T9" s="6">
        <v>0</v>
      </c>
      <c r="U9" s="6" t="str">
        <f t="shared" si="0"/>
        <v>2022-08</v>
      </c>
      <c r="V9" s="11">
        <f t="shared" si="1"/>
        <v>37.448427000000002</v>
      </c>
      <c r="W9" s="11">
        <f t="shared" si="2"/>
        <v>50.333910000000003</v>
      </c>
      <c r="X9" s="11">
        <f t="shared" si="3"/>
        <v>64.180000000000007</v>
      </c>
      <c r="Y9" s="11">
        <f t="shared" si="4"/>
        <v>16.011791500000001</v>
      </c>
      <c r="Z9" s="11">
        <f t="shared" si="5"/>
        <v>20.96685725</v>
      </c>
      <c r="AA9" s="11">
        <f t="shared" si="6"/>
        <v>0.79389175000000001</v>
      </c>
      <c r="AB9" s="12">
        <f t="shared" si="7"/>
        <v>0</v>
      </c>
      <c r="AC9" s="8">
        <f t="shared" si="8"/>
        <v>346093.92</v>
      </c>
    </row>
    <row r="10" spans="1:29">
      <c r="A10" s="6">
        <v>202209</v>
      </c>
      <c r="B10" s="7">
        <v>44805</v>
      </c>
      <c r="C10" s="6">
        <v>2022</v>
      </c>
      <c r="D10" s="6">
        <v>9</v>
      </c>
      <c r="E10" s="6" t="s">
        <v>83</v>
      </c>
      <c r="F10" s="6">
        <v>30</v>
      </c>
      <c r="G10" s="6">
        <v>720</v>
      </c>
      <c r="H10" s="8">
        <v>37354092.25</v>
      </c>
      <c r="I10" s="8">
        <v>51880.68</v>
      </c>
      <c r="J10" s="8">
        <v>66091.5</v>
      </c>
      <c r="K10" s="8">
        <v>38543340.75</v>
      </c>
      <c r="L10" s="8">
        <v>17020270.5</v>
      </c>
      <c r="M10" s="8">
        <v>20676817.5</v>
      </c>
      <c r="N10" s="8">
        <v>846252.75</v>
      </c>
      <c r="O10" s="9">
        <v>44.16</v>
      </c>
      <c r="P10" s="10">
        <v>346.12</v>
      </c>
      <c r="Q10" s="10">
        <v>2</v>
      </c>
      <c r="R10" s="10">
        <v>729.9</v>
      </c>
      <c r="S10" s="6">
        <v>0</v>
      </c>
      <c r="T10" s="6">
        <v>0</v>
      </c>
      <c r="U10" s="6" t="str">
        <f t="shared" si="0"/>
        <v>2022-09</v>
      </c>
      <c r="V10" s="11">
        <f t="shared" si="1"/>
        <v>37.354092250000001</v>
      </c>
      <c r="W10" s="11">
        <f t="shared" si="2"/>
        <v>51.880679999999998</v>
      </c>
      <c r="X10" s="11">
        <f t="shared" si="3"/>
        <v>66.091499999999996</v>
      </c>
      <c r="Y10" s="11">
        <f t="shared" si="4"/>
        <v>17.020270499999999</v>
      </c>
      <c r="Z10" s="11">
        <f t="shared" si="5"/>
        <v>20.676817499999999</v>
      </c>
      <c r="AA10" s="11">
        <f t="shared" si="6"/>
        <v>0.84625275</v>
      </c>
      <c r="AB10" s="12">
        <f t="shared" si="7"/>
        <v>0</v>
      </c>
      <c r="AC10" s="8">
        <f t="shared" si="8"/>
        <v>249206.39999999999</v>
      </c>
    </row>
    <row r="11" spans="1:29">
      <c r="A11" s="6">
        <v>202210</v>
      </c>
      <c r="B11" s="7">
        <v>44835</v>
      </c>
      <c r="C11" s="6">
        <v>2022</v>
      </c>
      <c r="D11" s="6">
        <v>10</v>
      </c>
      <c r="E11" s="6" t="s">
        <v>84</v>
      </c>
      <c r="F11" s="6">
        <v>31</v>
      </c>
      <c r="G11" s="6">
        <v>745</v>
      </c>
      <c r="H11" s="8">
        <v>38545247</v>
      </c>
      <c r="I11" s="8">
        <v>51738.59</v>
      </c>
      <c r="J11" s="8">
        <v>65808.75</v>
      </c>
      <c r="K11" s="8">
        <v>38569945.25</v>
      </c>
      <c r="L11" s="8">
        <v>19055695</v>
      </c>
      <c r="M11" s="8">
        <v>18557773.5</v>
      </c>
      <c r="N11" s="8">
        <v>956476.75</v>
      </c>
      <c r="O11" s="9">
        <v>49.41</v>
      </c>
      <c r="P11" s="10">
        <v>152.6</v>
      </c>
      <c r="Q11" s="10">
        <v>0.1</v>
      </c>
      <c r="R11" s="10">
        <v>497.39</v>
      </c>
      <c r="S11" s="6">
        <v>0</v>
      </c>
      <c r="T11" s="6">
        <v>0</v>
      </c>
      <c r="U11" s="6" t="str">
        <f t="shared" si="0"/>
        <v>2022-10</v>
      </c>
      <c r="V11" s="11">
        <f t="shared" si="1"/>
        <v>38.545247000000003</v>
      </c>
      <c r="W11" s="11">
        <f t="shared" si="2"/>
        <v>51.738589999999995</v>
      </c>
      <c r="X11" s="11">
        <f t="shared" si="3"/>
        <v>65.808750000000003</v>
      </c>
      <c r="Y11" s="11">
        <f t="shared" si="4"/>
        <v>19.055695</v>
      </c>
      <c r="Z11" s="11">
        <f t="shared" si="5"/>
        <v>18.5577735</v>
      </c>
      <c r="AA11" s="11">
        <f t="shared" si="6"/>
        <v>0.95647674999999999</v>
      </c>
      <c r="AB11" s="12">
        <f t="shared" si="7"/>
        <v>0</v>
      </c>
      <c r="AC11" s="8">
        <f t="shared" si="8"/>
        <v>113687</v>
      </c>
    </row>
    <row r="12" spans="1:29">
      <c r="A12" s="6">
        <v>202211</v>
      </c>
      <c r="B12" s="7">
        <v>44866</v>
      </c>
      <c r="C12" s="6">
        <v>2022</v>
      </c>
      <c r="D12" s="6">
        <v>11</v>
      </c>
      <c r="E12" s="6" t="s">
        <v>85</v>
      </c>
      <c r="F12" s="6">
        <v>30</v>
      </c>
      <c r="G12" s="6">
        <v>720</v>
      </c>
      <c r="H12" s="8">
        <v>39774611.25</v>
      </c>
      <c r="I12" s="8">
        <v>55242.52</v>
      </c>
      <c r="J12" s="8">
        <v>69343.75</v>
      </c>
      <c r="K12" s="8">
        <v>41997885.75</v>
      </c>
      <c r="L12" s="8">
        <v>18813025.5</v>
      </c>
      <c r="M12" s="8">
        <v>22183391.5</v>
      </c>
      <c r="N12" s="8">
        <v>1001468.75</v>
      </c>
      <c r="O12" s="9">
        <v>44.8</v>
      </c>
      <c r="P12" s="10">
        <v>173.63</v>
      </c>
      <c r="Q12" s="10">
        <v>0.09</v>
      </c>
      <c r="R12" s="10">
        <v>503.55</v>
      </c>
      <c r="S12" s="6">
        <v>0</v>
      </c>
      <c r="T12" s="6">
        <v>0</v>
      </c>
      <c r="U12" s="6" t="str">
        <f t="shared" si="0"/>
        <v>2022-11</v>
      </c>
      <c r="V12" s="11">
        <f t="shared" si="1"/>
        <v>39.77461125</v>
      </c>
      <c r="W12" s="11">
        <f t="shared" si="2"/>
        <v>55.242519999999999</v>
      </c>
      <c r="X12" s="11">
        <f t="shared" si="3"/>
        <v>69.34375</v>
      </c>
      <c r="Y12" s="11">
        <f t="shared" si="4"/>
        <v>18.813025499999998</v>
      </c>
      <c r="Z12" s="11">
        <f t="shared" si="5"/>
        <v>22.183391499999999</v>
      </c>
      <c r="AA12" s="11">
        <f t="shared" si="6"/>
        <v>1.0014687499999999</v>
      </c>
      <c r="AB12" s="12">
        <f t="shared" si="7"/>
        <v>0</v>
      </c>
      <c r="AC12" s="8">
        <f t="shared" si="8"/>
        <v>125013.59999999999</v>
      </c>
    </row>
    <row r="13" spans="1:29">
      <c r="A13" s="6">
        <v>202212</v>
      </c>
      <c r="B13" s="7">
        <v>44896</v>
      </c>
      <c r="C13" s="6">
        <v>2022</v>
      </c>
      <c r="D13" s="6">
        <v>12</v>
      </c>
      <c r="E13" s="6" t="s">
        <v>86</v>
      </c>
      <c r="F13" s="6">
        <v>31</v>
      </c>
      <c r="G13" s="6">
        <v>744</v>
      </c>
      <c r="H13" s="8">
        <v>40912897.25</v>
      </c>
      <c r="I13" s="8">
        <v>54990.45</v>
      </c>
      <c r="J13" s="8">
        <v>71538</v>
      </c>
      <c r="K13" s="8">
        <v>42943392</v>
      </c>
      <c r="L13" s="8">
        <v>17038085.75</v>
      </c>
      <c r="M13" s="8">
        <v>24881263</v>
      </c>
      <c r="N13" s="8">
        <v>1024043.25</v>
      </c>
      <c r="O13" s="9">
        <v>39.68</v>
      </c>
      <c r="P13" s="10">
        <v>251.62</v>
      </c>
      <c r="Q13" s="10">
        <v>-3.78</v>
      </c>
      <c r="R13" s="10">
        <v>665.01</v>
      </c>
      <c r="S13" s="6">
        <v>29</v>
      </c>
      <c r="T13" s="6">
        <v>0</v>
      </c>
      <c r="U13" s="6" t="str">
        <f t="shared" si="0"/>
        <v>2022-12</v>
      </c>
      <c r="V13" s="11">
        <f t="shared" si="1"/>
        <v>40.91289725</v>
      </c>
      <c r="W13" s="11">
        <f t="shared" si="2"/>
        <v>54.990449999999996</v>
      </c>
      <c r="X13" s="11">
        <f t="shared" si="3"/>
        <v>71.537999999999997</v>
      </c>
      <c r="Y13" s="11">
        <f t="shared" si="4"/>
        <v>17.03808575</v>
      </c>
      <c r="Z13" s="11">
        <f t="shared" si="5"/>
        <v>24.881263000000001</v>
      </c>
      <c r="AA13" s="11">
        <f t="shared" si="6"/>
        <v>1.0240432500000001</v>
      </c>
      <c r="AB13" s="12">
        <f t="shared" si="7"/>
        <v>3.8978494623655914E-2</v>
      </c>
      <c r="AC13" s="8">
        <f t="shared" si="8"/>
        <v>187205.28</v>
      </c>
    </row>
    <row r="14" spans="1:29">
      <c r="A14" s="6">
        <v>202301</v>
      </c>
      <c r="B14" s="7">
        <v>44927</v>
      </c>
      <c r="C14" s="6">
        <v>2023</v>
      </c>
      <c r="D14" s="6">
        <v>1</v>
      </c>
      <c r="E14" s="6" t="s">
        <v>75</v>
      </c>
      <c r="F14" s="6">
        <v>31</v>
      </c>
      <c r="G14" s="6">
        <v>744</v>
      </c>
      <c r="H14" s="8">
        <v>42152953.75</v>
      </c>
      <c r="I14" s="8">
        <v>56657.2</v>
      </c>
      <c r="J14" s="8">
        <v>71710.25</v>
      </c>
      <c r="K14" s="8">
        <v>44562883.75</v>
      </c>
      <c r="L14" s="8">
        <v>22711835.5</v>
      </c>
      <c r="M14" s="8">
        <v>20880941.75</v>
      </c>
      <c r="N14" s="8">
        <v>970106.5</v>
      </c>
      <c r="O14" s="9">
        <v>50.97</v>
      </c>
      <c r="P14" s="10">
        <v>117.83</v>
      </c>
      <c r="Q14" s="10">
        <v>-5.4</v>
      </c>
      <c r="R14" s="10">
        <v>270.22000000000003</v>
      </c>
      <c r="S14" s="6">
        <v>14</v>
      </c>
      <c r="T14" s="6">
        <v>0</v>
      </c>
      <c r="U14" s="6" t="str">
        <f t="shared" si="0"/>
        <v>2023-01</v>
      </c>
      <c r="V14" s="11">
        <f t="shared" si="1"/>
        <v>42.152953750000002</v>
      </c>
      <c r="W14" s="11">
        <f t="shared" si="2"/>
        <v>56.657199999999996</v>
      </c>
      <c r="X14" s="11">
        <f t="shared" si="3"/>
        <v>71.710250000000002</v>
      </c>
      <c r="Y14" s="11">
        <f t="shared" si="4"/>
        <v>22.711835499999999</v>
      </c>
      <c r="Z14" s="11">
        <f t="shared" si="5"/>
        <v>20.880941750000002</v>
      </c>
      <c r="AA14" s="11">
        <f t="shared" si="6"/>
        <v>0.97010649999999998</v>
      </c>
      <c r="AB14" s="12">
        <f t="shared" si="7"/>
        <v>1.8817204301075269E-2</v>
      </c>
      <c r="AC14" s="8">
        <f t="shared" si="8"/>
        <v>87665.52</v>
      </c>
    </row>
    <row r="15" spans="1:29">
      <c r="A15" s="6">
        <v>202302</v>
      </c>
      <c r="B15" s="7">
        <v>44958</v>
      </c>
      <c r="C15" s="6">
        <v>2023</v>
      </c>
      <c r="D15" s="6">
        <v>2</v>
      </c>
      <c r="E15" s="6" t="s">
        <v>76</v>
      </c>
      <c r="F15" s="6">
        <v>28</v>
      </c>
      <c r="G15" s="6">
        <v>672</v>
      </c>
      <c r="H15" s="8">
        <v>38138075.5</v>
      </c>
      <c r="I15" s="8">
        <v>56753.09</v>
      </c>
      <c r="J15" s="8">
        <v>71039.75</v>
      </c>
      <c r="K15" s="8">
        <v>41591603.5</v>
      </c>
      <c r="L15" s="8">
        <v>18358493.25</v>
      </c>
      <c r="M15" s="8">
        <v>22559183.5</v>
      </c>
      <c r="N15" s="8">
        <v>673926.75</v>
      </c>
      <c r="O15" s="9">
        <v>44.14</v>
      </c>
      <c r="P15" s="10">
        <v>128.31</v>
      </c>
      <c r="Q15" s="10">
        <v>22.01</v>
      </c>
      <c r="R15" s="10">
        <v>245.6</v>
      </c>
      <c r="S15" s="6">
        <v>0</v>
      </c>
      <c r="T15" s="6">
        <v>0</v>
      </c>
      <c r="U15" s="6" t="str">
        <f t="shared" si="0"/>
        <v>2023-02</v>
      </c>
      <c r="V15" s="11">
        <f t="shared" si="1"/>
        <v>38.138075499999999</v>
      </c>
      <c r="W15" s="11">
        <f t="shared" si="2"/>
        <v>56.753089999999993</v>
      </c>
      <c r="X15" s="11">
        <f t="shared" si="3"/>
        <v>71.039749999999998</v>
      </c>
      <c r="Y15" s="11">
        <f t="shared" si="4"/>
        <v>18.358493249999999</v>
      </c>
      <c r="Z15" s="11">
        <f t="shared" si="5"/>
        <v>22.5591835</v>
      </c>
      <c r="AA15" s="11">
        <f t="shared" si="6"/>
        <v>0.67392675000000002</v>
      </c>
      <c r="AB15" s="12">
        <f t="shared" si="7"/>
        <v>0</v>
      </c>
      <c r="AC15" s="8">
        <f t="shared" si="8"/>
        <v>86224.320000000007</v>
      </c>
    </row>
    <row r="16" spans="1:29">
      <c r="A16" s="6">
        <v>202303</v>
      </c>
      <c r="B16" s="7">
        <v>44986</v>
      </c>
      <c r="C16" s="6">
        <v>2023</v>
      </c>
      <c r="D16" s="6">
        <v>3</v>
      </c>
      <c r="E16" s="6" t="s">
        <v>77</v>
      </c>
      <c r="F16" s="6">
        <v>31</v>
      </c>
      <c r="G16" s="6">
        <v>743</v>
      </c>
      <c r="H16" s="8">
        <v>40877975.25</v>
      </c>
      <c r="I16" s="8">
        <v>55017.46</v>
      </c>
      <c r="J16" s="8">
        <v>67929.25</v>
      </c>
      <c r="K16" s="8">
        <v>43533282</v>
      </c>
      <c r="L16" s="8">
        <v>22708597.75</v>
      </c>
      <c r="M16" s="8">
        <v>19857418.75</v>
      </c>
      <c r="N16" s="8">
        <v>967265.5</v>
      </c>
      <c r="O16" s="9">
        <v>52.16</v>
      </c>
      <c r="P16" s="10">
        <v>102.52</v>
      </c>
      <c r="Q16" s="10">
        <v>-6.02</v>
      </c>
      <c r="R16" s="10">
        <v>217.09</v>
      </c>
      <c r="S16" s="6">
        <v>9</v>
      </c>
      <c r="T16" s="6">
        <v>0</v>
      </c>
      <c r="U16" s="6" t="str">
        <f t="shared" si="0"/>
        <v>2023-03</v>
      </c>
      <c r="V16" s="11">
        <f t="shared" si="1"/>
        <v>40.877975249999999</v>
      </c>
      <c r="W16" s="11">
        <f t="shared" si="2"/>
        <v>55.01746</v>
      </c>
      <c r="X16" s="11">
        <f t="shared" si="3"/>
        <v>67.929249999999996</v>
      </c>
      <c r="Y16" s="11">
        <f t="shared" si="4"/>
        <v>22.708597749999999</v>
      </c>
      <c r="Z16" s="11">
        <f t="shared" si="5"/>
        <v>19.857418750000001</v>
      </c>
      <c r="AA16" s="11">
        <f t="shared" si="6"/>
        <v>0.9672655</v>
      </c>
      <c r="AB16" s="12">
        <f t="shared" si="7"/>
        <v>1.2113055181695828E-2</v>
      </c>
      <c r="AC16" s="8">
        <f t="shared" si="8"/>
        <v>76172.36</v>
      </c>
    </row>
    <row r="17" spans="1:29">
      <c r="A17" s="6">
        <v>202304</v>
      </c>
      <c r="B17" s="7">
        <v>45017</v>
      </c>
      <c r="C17" s="6">
        <v>2023</v>
      </c>
      <c r="D17" s="6">
        <v>4</v>
      </c>
      <c r="E17" s="6" t="s">
        <v>78</v>
      </c>
      <c r="F17" s="6">
        <v>30</v>
      </c>
      <c r="G17" s="6">
        <v>720</v>
      </c>
      <c r="H17" s="8">
        <v>36156149.75</v>
      </c>
      <c r="I17" s="8">
        <v>50216.87</v>
      </c>
      <c r="J17" s="8">
        <v>64854.25</v>
      </c>
      <c r="K17" s="8">
        <v>36337631.75</v>
      </c>
      <c r="L17" s="8">
        <v>19941777.25</v>
      </c>
      <c r="M17" s="8">
        <v>15456739.75</v>
      </c>
      <c r="N17" s="8">
        <v>939114.75</v>
      </c>
      <c r="O17" s="9">
        <v>54.88</v>
      </c>
      <c r="P17" s="10">
        <v>100.74</v>
      </c>
      <c r="Q17" s="10">
        <v>-8.82</v>
      </c>
      <c r="R17" s="10">
        <v>207.92</v>
      </c>
      <c r="S17" s="6">
        <v>11</v>
      </c>
      <c r="T17" s="6">
        <v>0</v>
      </c>
      <c r="U17" s="6" t="str">
        <f t="shared" si="0"/>
        <v>2023-04</v>
      </c>
      <c r="V17" s="11">
        <f t="shared" si="1"/>
        <v>36.156149749999997</v>
      </c>
      <c r="W17" s="11">
        <f t="shared" si="2"/>
        <v>50.21687</v>
      </c>
      <c r="X17" s="11">
        <f t="shared" si="3"/>
        <v>64.854249999999993</v>
      </c>
      <c r="Y17" s="11">
        <f t="shared" si="4"/>
        <v>19.941777250000001</v>
      </c>
      <c r="Z17" s="11">
        <f t="shared" si="5"/>
        <v>15.456739750000001</v>
      </c>
      <c r="AA17" s="11">
        <f t="shared" si="6"/>
        <v>0.93911475</v>
      </c>
      <c r="AB17" s="12">
        <f t="shared" si="7"/>
        <v>1.5277777777777777E-2</v>
      </c>
      <c r="AC17" s="8">
        <f t="shared" si="8"/>
        <v>72532.800000000003</v>
      </c>
    </row>
    <row r="18" spans="1:29">
      <c r="A18" s="6">
        <v>202305</v>
      </c>
      <c r="B18" s="7">
        <v>45047</v>
      </c>
      <c r="C18" s="6">
        <v>2023</v>
      </c>
      <c r="D18" s="6">
        <v>5</v>
      </c>
      <c r="E18" s="6" t="s">
        <v>79</v>
      </c>
      <c r="F18" s="6">
        <v>31</v>
      </c>
      <c r="G18" s="6">
        <v>744</v>
      </c>
      <c r="H18" s="8">
        <v>36323273.25</v>
      </c>
      <c r="I18" s="8">
        <v>48821.599999999999</v>
      </c>
      <c r="J18" s="8">
        <v>64015.5</v>
      </c>
      <c r="K18" s="8">
        <v>33798360.25</v>
      </c>
      <c r="L18" s="8">
        <v>21187865.5</v>
      </c>
      <c r="M18" s="8">
        <v>11682799.5</v>
      </c>
      <c r="N18" s="8">
        <v>927695.25</v>
      </c>
      <c r="O18" s="9">
        <v>62.69</v>
      </c>
      <c r="P18" s="10">
        <v>81.72</v>
      </c>
      <c r="Q18" s="10">
        <v>-129.96</v>
      </c>
      <c r="R18" s="10">
        <v>182.68</v>
      </c>
      <c r="S18" s="6">
        <v>33</v>
      </c>
      <c r="T18" s="6">
        <v>0</v>
      </c>
      <c r="U18" s="6" t="str">
        <f t="shared" si="0"/>
        <v>2023-05</v>
      </c>
      <c r="V18" s="11">
        <f t="shared" si="1"/>
        <v>36.32327325</v>
      </c>
      <c r="W18" s="11">
        <f t="shared" si="2"/>
        <v>48.821599999999997</v>
      </c>
      <c r="X18" s="11">
        <f t="shared" si="3"/>
        <v>64.015500000000003</v>
      </c>
      <c r="Y18" s="11">
        <f t="shared" si="4"/>
        <v>21.187865500000001</v>
      </c>
      <c r="Z18" s="11">
        <f t="shared" si="5"/>
        <v>11.6827995</v>
      </c>
      <c r="AA18" s="11">
        <f t="shared" si="6"/>
        <v>0.92769524999999997</v>
      </c>
      <c r="AB18" s="12">
        <f t="shared" si="7"/>
        <v>4.4354838709677422E-2</v>
      </c>
      <c r="AC18" s="8">
        <f t="shared" si="8"/>
        <v>60799.68</v>
      </c>
    </row>
    <row r="19" spans="1:29">
      <c r="A19" s="6">
        <v>202306</v>
      </c>
      <c r="B19" s="7">
        <v>45078</v>
      </c>
      <c r="C19" s="6">
        <v>2023</v>
      </c>
      <c r="D19" s="6">
        <v>6</v>
      </c>
      <c r="E19" s="6" t="s">
        <v>80</v>
      </c>
      <c r="F19" s="6">
        <v>30</v>
      </c>
      <c r="G19" s="6">
        <v>720</v>
      </c>
      <c r="H19" s="8">
        <v>35475148.75</v>
      </c>
      <c r="I19" s="8">
        <v>49271.040000000001</v>
      </c>
      <c r="J19" s="8">
        <v>64164.75</v>
      </c>
      <c r="K19" s="8">
        <v>32687061.25</v>
      </c>
      <c r="L19" s="8">
        <v>19469121.25</v>
      </c>
      <c r="M19" s="8">
        <v>12462163</v>
      </c>
      <c r="N19" s="8">
        <v>755777</v>
      </c>
      <c r="O19" s="9">
        <v>59.56</v>
      </c>
      <c r="P19" s="10">
        <v>94.76</v>
      </c>
      <c r="Q19" s="10">
        <v>-36.35</v>
      </c>
      <c r="R19" s="10">
        <v>197.77</v>
      </c>
      <c r="S19" s="6">
        <v>20</v>
      </c>
      <c r="T19" s="6">
        <v>0</v>
      </c>
      <c r="U19" s="6" t="str">
        <f t="shared" si="0"/>
        <v>2023-06</v>
      </c>
      <c r="V19" s="11">
        <f t="shared" si="1"/>
        <v>35.475148750000002</v>
      </c>
      <c r="W19" s="11">
        <f t="shared" si="2"/>
        <v>49.271039999999999</v>
      </c>
      <c r="X19" s="11">
        <f t="shared" si="3"/>
        <v>64.164749999999998</v>
      </c>
      <c r="Y19" s="11">
        <f t="shared" si="4"/>
        <v>19.469121250000001</v>
      </c>
      <c r="Z19" s="11">
        <f t="shared" si="5"/>
        <v>12.462163</v>
      </c>
      <c r="AA19" s="11">
        <f t="shared" si="6"/>
        <v>0.75577700000000003</v>
      </c>
      <c r="AB19" s="12">
        <f t="shared" si="7"/>
        <v>2.7777777777777776E-2</v>
      </c>
      <c r="AC19" s="8">
        <f t="shared" si="8"/>
        <v>68227.199999999997</v>
      </c>
    </row>
    <row r="20" spans="1:29">
      <c r="A20" s="6">
        <v>202307</v>
      </c>
      <c r="B20" s="7">
        <v>45108</v>
      </c>
      <c r="C20" s="6">
        <v>2023</v>
      </c>
      <c r="D20" s="6">
        <v>7</v>
      </c>
      <c r="E20" s="6" t="s">
        <v>81</v>
      </c>
      <c r="F20" s="6">
        <v>31</v>
      </c>
      <c r="G20" s="6">
        <v>744</v>
      </c>
      <c r="H20" s="8">
        <v>36253498</v>
      </c>
      <c r="I20" s="8">
        <v>48727.82</v>
      </c>
      <c r="J20" s="8">
        <v>63658.25</v>
      </c>
      <c r="K20" s="8">
        <v>34304224.25</v>
      </c>
      <c r="L20" s="8">
        <v>22352358.5</v>
      </c>
      <c r="M20" s="8">
        <v>11260857</v>
      </c>
      <c r="N20" s="8">
        <v>691008.75</v>
      </c>
      <c r="O20" s="9">
        <v>65.16</v>
      </c>
      <c r="P20" s="10">
        <v>77.61</v>
      </c>
      <c r="Q20" s="10">
        <v>-500</v>
      </c>
      <c r="R20" s="10">
        <v>188</v>
      </c>
      <c r="S20" s="6">
        <v>56</v>
      </c>
      <c r="T20" s="6">
        <v>0</v>
      </c>
      <c r="U20" s="6" t="str">
        <f t="shared" si="0"/>
        <v>2023-07</v>
      </c>
      <c r="V20" s="11">
        <f t="shared" si="1"/>
        <v>36.253498</v>
      </c>
      <c r="W20" s="11">
        <f t="shared" si="2"/>
        <v>48.727820000000001</v>
      </c>
      <c r="X20" s="11">
        <f t="shared" si="3"/>
        <v>63.658250000000002</v>
      </c>
      <c r="Y20" s="11">
        <f t="shared" si="4"/>
        <v>22.352358500000001</v>
      </c>
      <c r="Z20" s="11">
        <f t="shared" si="5"/>
        <v>11.260857</v>
      </c>
      <c r="AA20" s="11">
        <f t="shared" si="6"/>
        <v>0.69100874999999995</v>
      </c>
      <c r="AB20" s="12">
        <f t="shared" si="7"/>
        <v>7.5268817204301078E-2</v>
      </c>
      <c r="AC20" s="8">
        <f t="shared" si="8"/>
        <v>57741.84</v>
      </c>
    </row>
    <row r="21" spans="1:29">
      <c r="A21" s="6">
        <v>202308</v>
      </c>
      <c r="B21" s="7">
        <v>45139</v>
      </c>
      <c r="C21" s="6">
        <v>2023</v>
      </c>
      <c r="D21" s="6">
        <v>8</v>
      </c>
      <c r="E21" s="6" t="s">
        <v>82</v>
      </c>
      <c r="F21" s="6">
        <v>31</v>
      </c>
      <c r="G21" s="6">
        <v>744</v>
      </c>
      <c r="H21" s="8">
        <v>36307265</v>
      </c>
      <c r="I21" s="8">
        <v>48800.09</v>
      </c>
      <c r="J21" s="8">
        <v>63071.5</v>
      </c>
      <c r="K21" s="8">
        <v>31982277.25</v>
      </c>
      <c r="L21" s="8">
        <v>18099143.5</v>
      </c>
      <c r="M21" s="8">
        <v>13053799.25</v>
      </c>
      <c r="N21" s="8">
        <v>829334.5</v>
      </c>
      <c r="O21" s="9">
        <v>56.59</v>
      </c>
      <c r="P21" s="10">
        <v>94.32</v>
      </c>
      <c r="Q21" s="10">
        <v>-21.77</v>
      </c>
      <c r="R21" s="10">
        <v>291.93</v>
      </c>
      <c r="S21" s="6">
        <v>23</v>
      </c>
      <c r="T21" s="6">
        <v>0</v>
      </c>
      <c r="U21" s="6" t="str">
        <f t="shared" si="0"/>
        <v>2023-08</v>
      </c>
      <c r="V21" s="11">
        <f t="shared" si="1"/>
        <v>36.307265000000001</v>
      </c>
      <c r="W21" s="11">
        <f t="shared" si="2"/>
        <v>48.800089999999997</v>
      </c>
      <c r="X21" s="11">
        <f t="shared" si="3"/>
        <v>63.0715</v>
      </c>
      <c r="Y21" s="11">
        <f t="shared" si="4"/>
        <v>18.0991435</v>
      </c>
      <c r="Z21" s="11">
        <f t="shared" si="5"/>
        <v>13.053799250000001</v>
      </c>
      <c r="AA21" s="11">
        <f t="shared" si="6"/>
        <v>0.82933449999999997</v>
      </c>
      <c r="AB21" s="12">
        <f t="shared" si="7"/>
        <v>3.0913978494623656E-2</v>
      </c>
      <c r="AC21" s="8">
        <f t="shared" si="8"/>
        <v>70174.080000000002</v>
      </c>
    </row>
    <row r="22" spans="1:29">
      <c r="A22" s="6">
        <v>202309</v>
      </c>
      <c r="B22" s="7">
        <v>45170</v>
      </c>
      <c r="C22" s="6">
        <v>2023</v>
      </c>
      <c r="D22" s="6">
        <v>9</v>
      </c>
      <c r="E22" s="6" t="s">
        <v>83</v>
      </c>
      <c r="F22" s="6">
        <v>30</v>
      </c>
      <c r="G22" s="6">
        <v>720</v>
      </c>
      <c r="H22" s="8">
        <v>35812639.25</v>
      </c>
      <c r="I22" s="8">
        <v>49739.78</v>
      </c>
      <c r="J22" s="8">
        <v>63746.75</v>
      </c>
      <c r="K22" s="8">
        <v>32338160.25</v>
      </c>
      <c r="L22" s="8">
        <v>17526490</v>
      </c>
      <c r="M22" s="8">
        <v>13985480.25</v>
      </c>
      <c r="N22" s="8">
        <v>826190</v>
      </c>
      <c r="O22" s="9">
        <v>54.2</v>
      </c>
      <c r="P22" s="10">
        <v>100.72</v>
      </c>
      <c r="Q22" s="10">
        <v>-5.74</v>
      </c>
      <c r="R22" s="10">
        <v>524.27</v>
      </c>
      <c r="S22" s="6">
        <v>22</v>
      </c>
      <c r="T22" s="6">
        <v>0</v>
      </c>
      <c r="U22" s="6" t="str">
        <f t="shared" si="0"/>
        <v>2023-09</v>
      </c>
      <c r="V22" s="11">
        <f t="shared" si="1"/>
        <v>35.812639249999997</v>
      </c>
      <c r="W22" s="11">
        <f t="shared" si="2"/>
        <v>49.739779999999996</v>
      </c>
      <c r="X22" s="11">
        <f t="shared" si="3"/>
        <v>63.746749999999999</v>
      </c>
      <c r="Y22" s="11">
        <f t="shared" si="4"/>
        <v>17.526489999999999</v>
      </c>
      <c r="Z22" s="11">
        <f t="shared" si="5"/>
        <v>13.98548025</v>
      </c>
      <c r="AA22" s="11">
        <f t="shared" si="6"/>
        <v>0.82618999999999998</v>
      </c>
      <c r="AB22" s="12">
        <f t="shared" si="7"/>
        <v>3.0555555555555555E-2</v>
      </c>
      <c r="AC22" s="8">
        <f t="shared" si="8"/>
        <v>72518.399999999994</v>
      </c>
    </row>
    <row r="23" spans="1:29">
      <c r="A23" s="6">
        <v>202310</v>
      </c>
      <c r="B23" s="7">
        <v>45200</v>
      </c>
      <c r="C23" s="6">
        <v>2023</v>
      </c>
      <c r="D23" s="6">
        <v>10</v>
      </c>
      <c r="E23" s="6" t="s">
        <v>84</v>
      </c>
      <c r="F23" s="6">
        <v>31</v>
      </c>
      <c r="G23" s="6">
        <v>745</v>
      </c>
      <c r="H23" s="8">
        <v>38794876.75</v>
      </c>
      <c r="I23" s="8">
        <v>52073.66</v>
      </c>
      <c r="J23" s="8">
        <v>68280</v>
      </c>
      <c r="K23" s="8">
        <v>38018825</v>
      </c>
      <c r="L23" s="8">
        <v>21931551</v>
      </c>
      <c r="M23" s="8">
        <v>15182667</v>
      </c>
      <c r="N23" s="8">
        <v>904607</v>
      </c>
      <c r="O23" s="9">
        <v>57.69</v>
      </c>
      <c r="P23" s="10">
        <v>87.38</v>
      </c>
      <c r="Q23" s="10">
        <v>-11.07</v>
      </c>
      <c r="R23" s="10">
        <v>250.28</v>
      </c>
      <c r="S23" s="6">
        <v>38</v>
      </c>
      <c r="T23" s="6">
        <v>0</v>
      </c>
      <c r="U23" s="6" t="str">
        <f t="shared" si="0"/>
        <v>2023-10</v>
      </c>
      <c r="V23" s="11">
        <f t="shared" si="1"/>
        <v>38.79487675</v>
      </c>
      <c r="W23" s="11">
        <f t="shared" si="2"/>
        <v>52.073660000000004</v>
      </c>
      <c r="X23" s="11">
        <f t="shared" si="3"/>
        <v>68.28</v>
      </c>
      <c r="Y23" s="11">
        <f t="shared" si="4"/>
        <v>21.931550999999999</v>
      </c>
      <c r="Z23" s="11">
        <f t="shared" si="5"/>
        <v>15.182667</v>
      </c>
      <c r="AA23" s="11">
        <f t="shared" si="6"/>
        <v>0.90460700000000005</v>
      </c>
      <c r="AB23" s="12">
        <f t="shared" si="7"/>
        <v>5.1006711409395972E-2</v>
      </c>
      <c r="AC23" s="8">
        <f t="shared" si="8"/>
        <v>65098.1</v>
      </c>
    </row>
    <row r="24" spans="1:29">
      <c r="A24" s="6">
        <v>202311</v>
      </c>
      <c r="B24" s="7">
        <v>45231</v>
      </c>
      <c r="C24" s="6">
        <v>2023</v>
      </c>
      <c r="D24" s="6">
        <v>11</v>
      </c>
      <c r="E24" s="6" t="s">
        <v>85</v>
      </c>
      <c r="F24" s="6">
        <v>30</v>
      </c>
      <c r="G24" s="6">
        <v>720</v>
      </c>
      <c r="H24" s="8">
        <v>41090774</v>
      </c>
      <c r="I24" s="8">
        <v>57070.52</v>
      </c>
      <c r="J24" s="8">
        <v>72447</v>
      </c>
      <c r="K24" s="8">
        <v>41109005</v>
      </c>
      <c r="L24" s="8">
        <v>22654226</v>
      </c>
      <c r="M24" s="8">
        <v>17602772.75</v>
      </c>
      <c r="N24" s="8">
        <v>852006.25</v>
      </c>
      <c r="O24" s="9">
        <v>55.11</v>
      </c>
      <c r="P24" s="10">
        <v>91.12</v>
      </c>
      <c r="Q24" s="10">
        <v>-0.08</v>
      </c>
      <c r="R24" s="10">
        <v>261</v>
      </c>
      <c r="S24" s="6">
        <v>3</v>
      </c>
      <c r="T24" s="6">
        <v>0</v>
      </c>
      <c r="U24" s="6" t="str">
        <f t="shared" si="0"/>
        <v>2023-11</v>
      </c>
      <c r="V24" s="11">
        <f t="shared" si="1"/>
        <v>41.090774000000003</v>
      </c>
      <c r="W24" s="11">
        <f t="shared" si="2"/>
        <v>57.070519999999995</v>
      </c>
      <c r="X24" s="11">
        <f t="shared" si="3"/>
        <v>72.447000000000003</v>
      </c>
      <c r="Y24" s="11">
        <f t="shared" si="4"/>
        <v>22.654226000000001</v>
      </c>
      <c r="Z24" s="11">
        <f t="shared" si="5"/>
        <v>17.60277275</v>
      </c>
      <c r="AA24" s="11">
        <f t="shared" si="6"/>
        <v>0.85200624999999997</v>
      </c>
      <c r="AB24" s="12">
        <f t="shared" si="7"/>
        <v>4.1666666666666666E-3</v>
      </c>
      <c r="AC24" s="8">
        <f t="shared" si="8"/>
        <v>65606.400000000009</v>
      </c>
    </row>
    <row r="25" spans="1:29">
      <c r="A25" s="6">
        <v>202312</v>
      </c>
      <c r="B25" s="7">
        <v>45261</v>
      </c>
      <c r="C25" s="6">
        <v>2023</v>
      </c>
      <c r="D25" s="6">
        <v>12</v>
      </c>
      <c r="E25" s="6" t="s">
        <v>86</v>
      </c>
      <c r="F25" s="6">
        <v>31</v>
      </c>
      <c r="G25" s="6">
        <v>744</v>
      </c>
      <c r="H25" s="8">
        <v>40999103</v>
      </c>
      <c r="I25" s="8">
        <v>55106.32</v>
      </c>
      <c r="J25" s="8">
        <v>73747.5</v>
      </c>
      <c r="K25" s="8">
        <v>43287025.25</v>
      </c>
      <c r="L25" s="8">
        <v>24649911.75</v>
      </c>
      <c r="M25" s="8">
        <v>17798167.5</v>
      </c>
      <c r="N25" s="8">
        <v>838946</v>
      </c>
      <c r="O25" s="9">
        <v>56.95</v>
      </c>
      <c r="P25" s="10">
        <v>68.52</v>
      </c>
      <c r="Q25" s="10">
        <v>-13.37</v>
      </c>
      <c r="R25" s="10">
        <v>230.69</v>
      </c>
      <c r="S25" s="6">
        <v>72</v>
      </c>
      <c r="T25" s="6">
        <v>0</v>
      </c>
      <c r="U25" s="6" t="str">
        <f t="shared" si="0"/>
        <v>2023-12</v>
      </c>
      <c r="V25" s="11">
        <f t="shared" si="1"/>
        <v>40.999102999999998</v>
      </c>
      <c r="W25" s="11">
        <f t="shared" si="2"/>
        <v>55.106319999999997</v>
      </c>
      <c r="X25" s="11">
        <f t="shared" si="3"/>
        <v>73.747500000000002</v>
      </c>
      <c r="Y25" s="11">
        <f t="shared" si="4"/>
        <v>24.649911750000001</v>
      </c>
      <c r="Z25" s="11">
        <f t="shared" si="5"/>
        <v>17.798167500000002</v>
      </c>
      <c r="AA25" s="11">
        <f t="shared" si="6"/>
        <v>0.83894599999999997</v>
      </c>
      <c r="AB25" s="12">
        <f t="shared" si="7"/>
        <v>9.6774193548387094E-2</v>
      </c>
      <c r="AC25" s="8">
        <f t="shared" si="8"/>
        <v>50978.879999999997</v>
      </c>
    </row>
    <row r="26" spans="1:29">
      <c r="A26" s="6">
        <v>202401</v>
      </c>
      <c r="B26" s="7">
        <v>45292</v>
      </c>
      <c r="C26" s="6">
        <v>2024</v>
      </c>
      <c r="D26" s="6">
        <v>1</v>
      </c>
      <c r="E26" s="6" t="s">
        <v>75</v>
      </c>
      <c r="F26" s="6">
        <v>31</v>
      </c>
      <c r="G26" s="6">
        <v>744</v>
      </c>
      <c r="H26" s="8">
        <v>44095498.25</v>
      </c>
      <c r="I26" s="8">
        <v>59268.14</v>
      </c>
      <c r="J26" s="8">
        <v>75508.25</v>
      </c>
      <c r="K26" s="8">
        <v>45019775.75</v>
      </c>
      <c r="L26" s="8">
        <v>24837194.5</v>
      </c>
      <c r="M26" s="8">
        <v>19385001.75</v>
      </c>
      <c r="N26" s="8">
        <v>797579.5</v>
      </c>
      <c r="O26" s="9">
        <v>55.17</v>
      </c>
      <c r="P26" s="10">
        <v>76.569999999999993</v>
      </c>
      <c r="Q26" s="10">
        <v>-4.84</v>
      </c>
      <c r="R26" s="10">
        <v>150.09</v>
      </c>
      <c r="S26" s="6">
        <v>16</v>
      </c>
      <c r="T26" s="6">
        <v>36</v>
      </c>
      <c r="U26" s="6" t="str">
        <f t="shared" si="0"/>
        <v>2024-01</v>
      </c>
      <c r="V26" s="11">
        <f t="shared" si="1"/>
        <v>44.095498249999999</v>
      </c>
      <c r="W26" s="11">
        <f t="shared" si="2"/>
        <v>59.268140000000002</v>
      </c>
      <c r="X26" s="11">
        <f t="shared" si="3"/>
        <v>75.508250000000004</v>
      </c>
      <c r="Y26" s="11">
        <f t="shared" si="4"/>
        <v>24.837194499999999</v>
      </c>
      <c r="Z26" s="11">
        <f t="shared" si="5"/>
        <v>19.385001750000001</v>
      </c>
      <c r="AA26" s="11">
        <f t="shared" si="6"/>
        <v>0.7975795</v>
      </c>
      <c r="AB26" s="12">
        <f t="shared" si="7"/>
        <v>2.1505376344086023E-2</v>
      </c>
      <c r="AC26" s="8">
        <f t="shared" si="8"/>
        <v>56968.079999999994</v>
      </c>
    </row>
    <row r="27" spans="1:29">
      <c r="A27" s="6">
        <v>202402</v>
      </c>
      <c r="B27" s="7">
        <v>45323</v>
      </c>
      <c r="C27" s="6">
        <v>2024</v>
      </c>
      <c r="D27" s="6">
        <v>2</v>
      </c>
      <c r="E27" s="6" t="s">
        <v>76</v>
      </c>
      <c r="F27" s="6">
        <v>29</v>
      </c>
      <c r="G27" s="6">
        <v>696</v>
      </c>
      <c r="H27" s="8">
        <v>39956911</v>
      </c>
      <c r="I27" s="8">
        <v>57409.35</v>
      </c>
      <c r="J27" s="8">
        <v>70974.25</v>
      </c>
      <c r="K27" s="8">
        <v>39611473.5</v>
      </c>
      <c r="L27" s="8">
        <v>23595476</v>
      </c>
      <c r="M27" s="8">
        <v>15245618</v>
      </c>
      <c r="N27" s="8">
        <v>770379.5</v>
      </c>
      <c r="O27" s="9">
        <v>59.57</v>
      </c>
      <c r="P27" s="10">
        <v>61.34</v>
      </c>
      <c r="Q27" s="10">
        <v>-0.13</v>
      </c>
      <c r="R27" s="10">
        <v>136.22</v>
      </c>
      <c r="S27" s="6">
        <v>4</v>
      </c>
      <c r="T27" s="6">
        <v>696</v>
      </c>
      <c r="U27" s="6" t="str">
        <f t="shared" si="0"/>
        <v>2024-02</v>
      </c>
      <c r="V27" s="11">
        <f t="shared" si="1"/>
        <v>39.956910999999998</v>
      </c>
      <c r="W27" s="11">
        <f t="shared" si="2"/>
        <v>57.409349999999996</v>
      </c>
      <c r="X27" s="11">
        <f t="shared" si="3"/>
        <v>70.974249999999998</v>
      </c>
      <c r="Y27" s="11">
        <f t="shared" si="4"/>
        <v>23.595476000000001</v>
      </c>
      <c r="Z27" s="11">
        <f t="shared" si="5"/>
        <v>15.245618</v>
      </c>
      <c r="AA27" s="11">
        <f t="shared" si="6"/>
        <v>0.77037949999999999</v>
      </c>
      <c r="AB27" s="12">
        <f t="shared" si="7"/>
        <v>5.7471264367816091E-3</v>
      </c>
      <c r="AC27" s="8">
        <f t="shared" si="8"/>
        <v>42692.639999999999</v>
      </c>
    </row>
    <row r="28" spans="1:29">
      <c r="A28" s="6">
        <v>202403</v>
      </c>
      <c r="B28" s="7">
        <v>45352</v>
      </c>
      <c r="C28" s="6">
        <v>2024</v>
      </c>
      <c r="D28" s="6">
        <v>3</v>
      </c>
      <c r="E28" s="6" t="s">
        <v>77</v>
      </c>
      <c r="F28" s="6">
        <v>31</v>
      </c>
      <c r="G28" s="6">
        <v>743</v>
      </c>
      <c r="H28" s="8">
        <v>40192601.75</v>
      </c>
      <c r="I28" s="8">
        <v>54095.02</v>
      </c>
      <c r="J28" s="8">
        <v>70041.25</v>
      </c>
      <c r="K28" s="8">
        <v>38119183</v>
      </c>
      <c r="L28" s="8">
        <v>21712578</v>
      </c>
      <c r="M28" s="8">
        <v>15588116.25</v>
      </c>
      <c r="N28" s="8">
        <v>818488.75</v>
      </c>
      <c r="O28" s="9">
        <v>56.96</v>
      </c>
      <c r="P28" s="10">
        <v>64.7</v>
      </c>
      <c r="Q28" s="10">
        <v>-9.98</v>
      </c>
      <c r="R28" s="10">
        <v>174.7</v>
      </c>
      <c r="S28" s="6">
        <v>12</v>
      </c>
      <c r="T28" s="6">
        <v>743</v>
      </c>
      <c r="U28" s="6" t="str">
        <f t="shared" si="0"/>
        <v>2024-03</v>
      </c>
      <c r="V28" s="11">
        <f t="shared" si="1"/>
        <v>40.192601750000001</v>
      </c>
      <c r="W28" s="11">
        <f t="shared" si="2"/>
        <v>54.095019999999998</v>
      </c>
      <c r="X28" s="11">
        <f t="shared" si="3"/>
        <v>70.041250000000005</v>
      </c>
      <c r="Y28" s="11">
        <f t="shared" si="4"/>
        <v>21.712578000000001</v>
      </c>
      <c r="Z28" s="11">
        <f t="shared" si="5"/>
        <v>15.588116250000001</v>
      </c>
      <c r="AA28" s="11">
        <f t="shared" si="6"/>
        <v>0.81848874999999999</v>
      </c>
      <c r="AB28" s="12">
        <f t="shared" si="7"/>
        <v>1.6150740242261104E-2</v>
      </c>
      <c r="AC28" s="8">
        <f t="shared" si="8"/>
        <v>48072.1</v>
      </c>
    </row>
    <row r="29" spans="1:29">
      <c r="A29" s="6">
        <v>202404</v>
      </c>
      <c r="B29" s="7">
        <v>45383</v>
      </c>
      <c r="C29" s="6">
        <v>2024</v>
      </c>
      <c r="D29" s="6">
        <v>4</v>
      </c>
      <c r="E29" s="6" t="s">
        <v>78</v>
      </c>
      <c r="F29" s="6">
        <v>30</v>
      </c>
      <c r="G29" s="6">
        <v>720</v>
      </c>
      <c r="H29" s="8">
        <v>37730955.5</v>
      </c>
      <c r="I29" s="8">
        <v>52404.1</v>
      </c>
      <c r="J29" s="8">
        <v>67257.75</v>
      </c>
      <c r="K29" s="8">
        <v>35447379</v>
      </c>
      <c r="L29" s="8">
        <v>22993354.25</v>
      </c>
      <c r="M29" s="8">
        <v>11550222</v>
      </c>
      <c r="N29" s="8">
        <v>903802.75</v>
      </c>
      <c r="O29" s="9">
        <v>64.87</v>
      </c>
      <c r="P29" s="10">
        <v>62.36</v>
      </c>
      <c r="Q29" s="10">
        <v>-65.06</v>
      </c>
      <c r="R29" s="10">
        <v>204.57</v>
      </c>
      <c r="S29" s="6">
        <v>50</v>
      </c>
      <c r="T29" s="6">
        <v>720</v>
      </c>
      <c r="U29" s="6" t="str">
        <f t="shared" si="0"/>
        <v>2024-04</v>
      </c>
      <c r="V29" s="11">
        <f t="shared" si="1"/>
        <v>37.7309555</v>
      </c>
      <c r="W29" s="11">
        <f t="shared" si="2"/>
        <v>52.4041</v>
      </c>
      <c r="X29" s="11">
        <f t="shared" si="3"/>
        <v>67.257750000000001</v>
      </c>
      <c r="Y29" s="11">
        <f t="shared" si="4"/>
        <v>22.993354249999999</v>
      </c>
      <c r="Z29" s="11">
        <f t="shared" si="5"/>
        <v>11.550222</v>
      </c>
      <c r="AA29" s="11">
        <f t="shared" si="6"/>
        <v>0.90380274999999999</v>
      </c>
      <c r="AB29" s="12">
        <f t="shared" si="7"/>
        <v>6.9444444444444448E-2</v>
      </c>
      <c r="AC29" s="8">
        <f t="shared" si="8"/>
        <v>44899.199999999997</v>
      </c>
    </row>
    <row r="30" spans="1:29">
      <c r="A30" s="6">
        <v>202405</v>
      </c>
      <c r="B30" s="7">
        <v>45413</v>
      </c>
      <c r="C30" s="6">
        <v>2024</v>
      </c>
      <c r="D30" s="6">
        <v>5</v>
      </c>
      <c r="E30" s="6" t="s">
        <v>79</v>
      </c>
      <c r="F30" s="6">
        <v>31</v>
      </c>
      <c r="G30" s="6">
        <v>744</v>
      </c>
      <c r="H30" s="8">
        <v>35983512.75</v>
      </c>
      <c r="I30" s="8">
        <v>48364.94</v>
      </c>
      <c r="J30" s="8">
        <v>63385.75</v>
      </c>
      <c r="K30" s="8">
        <v>33083439.25</v>
      </c>
      <c r="L30" s="8">
        <v>21175241.5</v>
      </c>
      <c r="M30" s="8">
        <v>11003711.5</v>
      </c>
      <c r="N30" s="8">
        <v>904486.25</v>
      </c>
      <c r="O30" s="9">
        <v>64.010000000000005</v>
      </c>
      <c r="P30" s="10">
        <v>67.209999999999994</v>
      </c>
      <c r="Q30" s="10">
        <v>-135.44999999999999</v>
      </c>
      <c r="R30" s="10">
        <v>221.46</v>
      </c>
      <c r="S30" s="6">
        <v>78</v>
      </c>
      <c r="T30" s="6">
        <v>744</v>
      </c>
      <c r="U30" s="6" t="str">
        <f t="shared" si="0"/>
        <v>2024-05</v>
      </c>
      <c r="V30" s="11">
        <f t="shared" si="1"/>
        <v>35.983512750000003</v>
      </c>
      <c r="W30" s="11">
        <f t="shared" si="2"/>
        <v>48.364940000000004</v>
      </c>
      <c r="X30" s="11">
        <f t="shared" si="3"/>
        <v>63.385750000000002</v>
      </c>
      <c r="Y30" s="11">
        <f t="shared" si="4"/>
        <v>21.175241499999998</v>
      </c>
      <c r="Z30" s="11">
        <f t="shared" si="5"/>
        <v>11.0037115</v>
      </c>
      <c r="AA30" s="11">
        <f t="shared" si="6"/>
        <v>0.90448625000000005</v>
      </c>
      <c r="AB30" s="12">
        <f t="shared" si="7"/>
        <v>0.10483870967741936</v>
      </c>
      <c r="AC30" s="8">
        <f t="shared" si="8"/>
        <v>50004.24</v>
      </c>
    </row>
    <row r="31" spans="1:29">
      <c r="A31" s="6">
        <v>202406</v>
      </c>
      <c r="B31" s="7">
        <v>45444</v>
      </c>
      <c r="C31" s="6">
        <v>2024</v>
      </c>
      <c r="D31" s="6">
        <v>6</v>
      </c>
      <c r="E31" s="6" t="s">
        <v>80</v>
      </c>
      <c r="F31" s="6">
        <v>30</v>
      </c>
      <c r="G31" s="6">
        <v>720</v>
      </c>
      <c r="H31" s="8">
        <v>35704641.25</v>
      </c>
      <c r="I31" s="8">
        <v>49589.78</v>
      </c>
      <c r="J31" s="8">
        <v>63286.75</v>
      </c>
      <c r="K31" s="8">
        <v>32606663</v>
      </c>
      <c r="L31" s="8">
        <v>20644355.25</v>
      </c>
      <c r="M31" s="8">
        <v>11010561.75</v>
      </c>
      <c r="N31" s="8">
        <v>951746</v>
      </c>
      <c r="O31" s="9">
        <v>63.31</v>
      </c>
      <c r="P31" s="10">
        <v>72.89</v>
      </c>
      <c r="Q31" s="10">
        <v>-80.010000000000005</v>
      </c>
      <c r="R31" s="10">
        <v>235.52</v>
      </c>
      <c r="S31" s="6">
        <v>64</v>
      </c>
      <c r="T31" s="6">
        <v>720</v>
      </c>
      <c r="U31" s="6" t="str">
        <f t="shared" si="0"/>
        <v>2024-06</v>
      </c>
      <c r="V31" s="11">
        <f t="shared" si="1"/>
        <v>35.704641250000002</v>
      </c>
      <c r="W31" s="11">
        <f t="shared" si="2"/>
        <v>49.589779999999998</v>
      </c>
      <c r="X31" s="11">
        <f t="shared" si="3"/>
        <v>63.286749999999998</v>
      </c>
      <c r="Y31" s="11">
        <f t="shared" si="4"/>
        <v>20.64435525</v>
      </c>
      <c r="Z31" s="11">
        <f t="shared" si="5"/>
        <v>11.010561750000001</v>
      </c>
      <c r="AA31" s="11">
        <f t="shared" si="6"/>
        <v>0.95174599999999998</v>
      </c>
      <c r="AB31" s="12">
        <f t="shared" si="7"/>
        <v>8.8888888888888892E-2</v>
      </c>
      <c r="AC31" s="8">
        <f t="shared" si="8"/>
        <v>52480.800000000003</v>
      </c>
    </row>
    <row r="32" spans="1:29">
      <c r="A32" s="6">
        <v>202407</v>
      </c>
      <c r="B32" s="7">
        <v>45474</v>
      </c>
      <c r="C32" s="6">
        <v>2024</v>
      </c>
      <c r="D32" s="6">
        <v>7</v>
      </c>
      <c r="E32" s="6" t="s">
        <v>81</v>
      </c>
      <c r="F32" s="6">
        <v>31</v>
      </c>
      <c r="G32" s="6">
        <v>744</v>
      </c>
      <c r="H32" s="8">
        <v>36973712.75</v>
      </c>
      <c r="I32" s="8">
        <v>49695.85</v>
      </c>
      <c r="J32" s="8">
        <v>65836.25</v>
      </c>
      <c r="K32" s="8">
        <v>33495823.75</v>
      </c>
      <c r="L32" s="8">
        <v>21225183</v>
      </c>
      <c r="M32" s="8">
        <v>11200174</v>
      </c>
      <c r="N32" s="8">
        <v>1070466.75</v>
      </c>
      <c r="O32" s="9">
        <v>63.37</v>
      </c>
      <c r="P32" s="10">
        <v>67.7</v>
      </c>
      <c r="Q32" s="10">
        <v>-73.959999999999994</v>
      </c>
      <c r="R32" s="10">
        <v>257.35000000000002</v>
      </c>
      <c r="S32" s="6">
        <v>81</v>
      </c>
      <c r="T32" s="6">
        <v>744</v>
      </c>
      <c r="U32" s="6" t="str">
        <f t="shared" si="0"/>
        <v>2024-07</v>
      </c>
      <c r="V32" s="11">
        <f t="shared" si="1"/>
        <v>36.973712749999997</v>
      </c>
      <c r="W32" s="11">
        <f t="shared" si="2"/>
        <v>49.69585</v>
      </c>
      <c r="X32" s="11">
        <f t="shared" si="3"/>
        <v>65.836250000000007</v>
      </c>
      <c r="Y32" s="11">
        <f t="shared" si="4"/>
        <v>21.225183000000001</v>
      </c>
      <c r="Z32" s="11">
        <f t="shared" si="5"/>
        <v>11.200174000000001</v>
      </c>
      <c r="AA32" s="11">
        <f t="shared" si="6"/>
        <v>1.07046675</v>
      </c>
      <c r="AB32" s="12">
        <f t="shared" si="7"/>
        <v>0.10887096774193548</v>
      </c>
      <c r="AC32" s="8">
        <f t="shared" si="8"/>
        <v>50368.800000000003</v>
      </c>
    </row>
    <row r="33" spans="1:29">
      <c r="A33" s="6">
        <v>202408</v>
      </c>
      <c r="B33" s="7">
        <v>45505</v>
      </c>
      <c r="C33" s="6">
        <v>2024</v>
      </c>
      <c r="D33" s="6">
        <v>8</v>
      </c>
      <c r="E33" s="6" t="s">
        <v>82</v>
      </c>
      <c r="F33" s="6">
        <v>31</v>
      </c>
      <c r="G33" s="6">
        <v>744</v>
      </c>
      <c r="H33" s="8">
        <v>36921844</v>
      </c>
      <c r="I33" s="8">
        <v>49626.13</v>
      </c>
      <c r="J33" s="8">
        <v>63410.25</v>
      </c>
      <c r="K33" s="8">
        <v>32766383.75</v>
      </c>
      <c r="L33" s="8">
        <v>19908049</v>
      </c>
      <c r="M33" s="8">
        <v>11863696.75</v>
      </c>
      <c r="N33" s="8">
        <v>994638</v>
      </c>
      <c r="O33" s="9">
        <v>60.76</v>
      </c>
      <c r="P33" s="10">
        <v>82.05</v>
      </c>
      <c r="Q33" s="10">
        <v>-59.96</v>
      </c>
      <c r="R33" s="10">
        <v>289.27</v>
      </c>
      <c r="S33" s="6">
        <v>68</v>
      </c>
      <c r="T33" s="6">
        <v>744</v>
      </c>
      <c r="U33" s="6" t="str">
        <f t="shared" si="0"/>
        <v>2024-08</v>
      </c>
      <c r="V33" s="11">
        <f t="shared" si="1"/>
        <v>36.921844</v>
      </c>
      <c r="W33" s="11">
        <f t="shared" si="2"/>
        <v>49.626129999999996</v>
      </c>
      <c r="X33" s="11">
        <f t="shared" si="3"/>
        <v>63.410249999999998</v>
      </c>
      <c r="Y33" s="11">
        <f t="shared" si="4"/>
        <v>19.908048999999998</v>
      </c>
      <c r="Z33" s="11">
        <f t="shared" si="5"/>
        <v>11.863696750000001</v>
      </c>
      <c r="AA33" s="11">
        <f t="shared" si="6"/>
        <v>0.99463800000000002</v>
      </c>
      <c r="AB33" s="12">
        <f t="shared" si="7"/>
        <v>9.1397849462365593E-2</v>
      </c>
      <c r="AC33" s="8">
        <f t="shared" si="8"/>
        <v>61045.2</v>
      </c>
    </row>
    <row r="34" spans="1:29">
      <c r="A34" s="6">
        <v>202409</v>
      </c>
      <c r="B34" s="7">
        <v>45536</v>
      </c>
      <c r="C34" s="6">
        <v>2024</v>
      </c>
      <c r="D34" s="6">
        <v>9</v>
      </c>
      <c r="E34" s="6" t="s">
        <v>83</v>
      </c>
      <c r="F34" s="6">
        <v>30</v>
      </c>
      <c r="G34" s="6">
        <v>720</v>
      </c>
      <c r="H34" s="8">
        <v>36646160.530000001</v>
      </c>
      <c r="I34" s="8">
        <v>50897.45</v>
      </c>
      <c r="J34" s="8">
        <v>65057</v>
      </c>
      <c r="K34" s="8">
        <v>33809086.75</v>
      </c>
      <c r="L34" s="8">
        <v>21108167</v>
      </c>
      <c r="M34" s="8">
        <v>11863249.25</v>
      </c>
      <c r="N34" s="8">
        <v>837670.5</v>
      </c>
      <c r="O34" s="9">
        <v>62.43</v>
      </c>
      <c r="P34" s="10">
        <v>78.31</v>
      </c>
      <c r="Q34" s="10">
        <v>-24</v>
      </c>
      <c r="R34" s="10">
        <v>656.37</v>
      </c>
      <c r="S34" s="6">
        <v>40</v>
      </c>
      <c r="T34" s="6">
        <v>720</v>
      </c>
      <c r="U34" s="6" t="str">
        <f t="shared" si="0"/>
        <v>2024-09</v>
      </c>
      <c r="V34" s="11">
        <f t="shared" si="1"/>
        <v>36.646160530000003</v>
      </c>
      <c r="W34" s="11">
        <f t="shared" si="2"/>
        <v>50.897449999999999</v>
      </c>
      <c r="X34" s="11">
        <f t="shared" si="3"/>
        <v>65.057000000000002</v>
      </c>
      <c r="Y34" s="11">
        <f t="shared" si="4"/>
        <v>21.108167000000002</v>
      </c>
      <c r="Z34" s="11">
        <f t="shared" si="5"/>
        <v>11.863249250000001</v>
      </c>
      <c r="AA34" s="11">
        <f t="shared" si="6"/>
        <v>0.83767049999999998</v>
      </c>
      <c r="AB34" s="12">
        <f t="shared" si="7"/>
        <v>5.5555555555555552E-2</v>
      </c>
      <c r="AC34" s="8">
        <f t="shared" si="8"/>
        <v>56383.200000000004</v>
      </c>
    </row>
    <row r="35" spans="1:29">
      <c r="A35" s="6">
        <v>202410</v>
      </c>
      <c r="B35" s="7">
        <v>45566</v>
      </c>
      <c r="C35" s="6">
        <v>2024</v>
      </c>
      <c r="D35" s="6">
        <v>10</v>
      </c>
      <c r="E35" s="6" t="s">
        <v>84</v>
      </c>
      <c r="F35" s="6">
        <v>31</v>
      </c>
      <c r="G35" s="6">
        <v>745</v>
      </c>
      <c r="H35" s="8">
        <v>38537384</v>
      </c>
      <c r="I35" s="8">
        <v>51728.03</v>
      </c>
      <c r="J35" s="8">
        <v>65491.75</v>
      </c>
      <c r="K35" s="8">
        <v>34759714</v>
      </c>
      <c r="L35" s="8">
        <v>18885984</v>
      </c>
      <c r="M35" s="8">
        <v>15039636.25</v>
      </c>
      <c r="N35" s="8">
        <v>834093.75</v>
      </c>
      <c r="O35" s="9">
        <v>54.33</v>
      </c>
      <c r="P35" s="10">
        <v>86.1</v>
      </c>
      <c r="Q35" s="10">
        <v>-15.69</v>
      </c>
      <c r="R35" s="10">
        <v>285.8</v>
      </c>
      <c r="S35" s="6">
        <v>25</v>
      </c>
      <c r="T35" s="6">
        <v>745</v>
      </c>
      <c r="U35" s="6" t="str">
        <f t="shared" si="0"/>
        <v>2024-10</v>
      </c>
      <c r="V35" s="11">
        <f t="shared" si="1"/>
        <v>38.537384000000003</v>
      </c>
      <c r="W35" s="11">
        <f t="shared" si="2"/>
        <v>51.728029999999997</v>
      </c>
      <c r="X35" s="11">
        <f t="shared" si="3"/>
        <v>65.491749999999996</v>
      </c>
      <c r="Y35" s="11">
        <f t="shared" si="4"/>
        <v>18.885984000000001</v>
      </c>
      <c r="Z35" s="11">
        <f t="shared" si="5"/>
        <v>15.039636249999999</v>
      </c>
      <c r="AA35" s="11">
        <f t="shared" si="6"/>
        <v>0.83409374999999997</v>
      </c>
      <c r="AB35" s="12">
        <f t="shared" si="7"/>
        <v>3.3557046979865772E-2</v>
      </c>
      <c r="AC35" s="8">
        <f t="shared" si="8"/>
        <v>64144.499999999993</v>
      </c>
    </row>
    <row r="36" spans="1:29">
      <c r="A36" s="6">
        <v>202411</v>
      </c>
      <c r="B36" s="7">
        <v>45597</v>
      </c>
      <c r="C36" s="6">
        <v>2024</v>
      </c>
      <c r="D36" s="6">
        <v>11</v>
      </c>
      <c r="E36" s="6" t="s">
        <v>85</v>
      </c>
      <c r="F36" s="6">
        <v>30</v>
      </c>
      <c r="G36" s="6">
        <v>720</v>
      </c>
      <c r="H36" s="8">
        <v>41376520</v>
      </c>
      <c r="I36" s="8">
        <v>57467.39</v>
      </c>
      <c r="J36" s="8">
        <v>72944.75</v>
      </c>
      <c r="K36" s="8">
        <v>38701564.75</v>
      </c>
      <c r="L36" s="8">
        <v>18334035.25</v>
      </c>
      <c r="M36" s="8">
        <v>19650342.5</v>
      </c>
      <c r="N36" s="8">
        <v>717187</v>
      </c>
      <c r="O36" s="9">
        <v>47.37</v>
      </c>
      <c r="P36" s="10">
        <v>113.91</v>
      </c>
      <c r="Q36" s="10">
        <v>-1.86</v>
      </c>
      <c r="R36" s="10">
        <v>820.11</v>
      </c>
      <c r="S36" s="6">
        <v>11</v>
      </c>
      <c r="T36" s="6">
        <v>720</v>
      </c>
      <c r="U36" s="6" t="str">
        <f t="shared" si="0"/>
        <v>2024-11</v>
      </c>
      <c r="V36" s="11">
        <f t="shared" si="1"/>
        <v>41.376519999999999</v>
      </c>
      <c r="W36" s="11">
        <f t="shared" si="2"/>
        <v>57.467390000000002</v>
      </c>
      <c r="X36" s="11">
        <f t="shared" si="3"/>
        <v>72.944749999999999</v>
      </c>
      <c r="Y36" s="11">
        <f t="shared" si="4"/>
        <v>18.334035249999999</v>
      </c>
      <c r="Z36" s="11">
        <f t="shared" si="5"/>
        <v>19.650342500000001</v>
      </c>
      <c r="AA36" s="11">
        <f t="shared" si="6"/>
        <v>0.71718700000000002</v>
      </c>
      <c r="AB36" s="12">
        <f t="shared" si="7"/>
        <v>1.5277777777777777E-2</v>
      </c>
      <c r="AC36" s="8">
        <f t="shared" si="8"/>
        <v>82015.199999999997</v>
      </c>
    </row>
    <row r="37" spans="1:29">
      <c r="A37" s="6">
        <v>202412</v>
      </c>
      <c r="B37" s="7">
        <v>45627</v>
      </c>
      <c r="C37" s="6">
        <v>2024</v>
      </c>
      <c r="D37" s="6">
        <v>12</v>
      </c>
      <c r="E37" s="6" t="s">
        <v>86</v>
      </c>
      <c r="F37" s="6">
        <v>31</v>
      </c>
      <c r="G37" s="6">
        <v>744</v>
      </c>
      <c r="H37" s="8">
        <v>41383116</v>
      </c>
      <c r="I37" s="8">
        <v>55622.47</v>
      </c>
      <c r="J37" s="8">
        <v>74516.25</v>
      </c>
      <c r="K37" s="8">
        <v>40233990.25</v>
      </c>
      <c r="L37" s="8">
        <v>21764375.5</v>
      </c>
      <c r="M37" s="8">
        <v>17679460.75</v>
      </c>
      <c r="N37" s="8">
        <v>790154</v>
      </c>
      <c r="O37" s="9">
        <v>54.09</v>
      </c>
      <c r="P37" s="10">
        <v>108.32</v>
      </c>
      <c r="Q37" s="10">
        <v>-2.06</v>
      </c>
      <c r="R37" s="10">
        <v>936.28</v>
      </c>
      <c r="S37" s="6">
        <v>8</v>
      </c>
      <c r="T37" s="6">
        <v>744</v>
      </c>
      <c r="U37" s="6" t="str">
        <f t="shared" si="0"/>
        <v>2024-12</v>
      </c>
      <c r="V37" s="11">
        <f t="shared" si="1"/>
        <v>41.383116000000001</v>
      </c>
      <c r="W37" s="11">
        <f t="shared" si="2"/>
        <v>55.62247</v>
      </c>
      <c r="X37" s="11">
        <f t="shared" si="3"/>
        <v>74.516249999999999</v>
      </c>
      <c r="Y37" s="11">
        <f t="shared" si="4"/>
        <v>21.7643755</v>
      </c>
      <c r="Z37" s="11">
        <f t="shared" si="5"/>
        <v>17.679460750000001</v>
      </c>
      <c r="AA37" s="11">
        <f t="shared" si="6"/>
        <v>0.79015400000000002</v>
      </c>
      <c r="AB37" s="12">
        <f t="shared" si="7"/>
        <v>1.0752688172043012E-2</v>
      </c>
      <c r="AC37" s="8">
        <f t="shared" si="8"/>
        <v>80590.080000000002</v>
      </c>
    </row>
    <row r="38" spans="1:29">
      <c r="A38" s="6">
        <v>202501</v>
      </c>
      <c r="B38" s="7">
        <v>45658</v>
      </c>
      <c r="C38" s="6">
        <v>2025</v>
      </c>
      <c r="D38" s="6">
        <v>1</v>
      </c>
      <c r="E38" s="6" t="s">
        <v>75</v>
      </c>
      <c r="F38" s="6">
        <v>31</v>
      </c>
      <c r="G38" s="6">
        <v>744</v>
      </c>
      <c r="H38" s="8">
        <v>44170689.75</v>
      </c>
      <c r="I38" s="8">
        <v>59369.21</v>
      </c>
      <c r="J38" s="8">
        <v>75361</v>
      </c>
      <c r="K38" s="8">
        <v>42431050.280000001</v>
      </c>
      <c r="L38" s="8">
        <v>21982044.280000001</v>
      </c>
      <c r="M38" s="8">
        <v>19595893.75</v>
      </c>
      <c r="N38" s="8">
        <v>853112.25</v>
      </c>
      <c r="O38" s="9">
        <v>51.81</v>
      </c>
      <c r="P38" s="10">
        <v>114.14</v>
      </c>
      <c r="Q38" s="10">
        <v>-1.01</v>
      </c>
      <c r="R38" s="10">
        <v>583.4</v>
      </c>
      <c r="S38" s="6">
        <v>14</v>
      </c>
      <c r="T38" s="6">
        <v>744</v>
      </c>
      <c r="U38" s="6" t="str">
        <f t="shared" si="0"/>
        <v>2025-01</v>
      </c>
      <c r="V38" s="11">
        <f t="shared" si="1"/>
        <v>44.170689750000001</v>
      </c>
      <c r="W38" s="11">
        <f t="shared" si="2"/>
        <v>59.369210000000002</v>
      </c>
      <c r="X38" s="11">
        <f t="shared" si="3"/>
        <v>75.361000000000004</v>
      </c>
      <c r="Y38" s="11">
        <f t="shared" si="4"/>
        <v>21.98204428</v>
      </c>
      <c r="Z38" s="11">
        <f t="shared" si="5"/>
        <v>19.595893749999998</v>
      </c>
      <c r="AA38" s="11">
        <f t="shared" si="6"/>
        <v>0.85311225000000002</v>
      </c>
      <c r="AB38" s="12">
        <f t="shared" si="7"/>
        <v>1.8817204301075269E-2</v>
      </c>
      <c r="AC38" s="8">
        <f t="shared" si="8"/>
        <v>84920.16</v>
      </c>
    </row>
    <row r="39" spans="1:29">
      <c r="A39" s="6">
        <v>202502</v>
      </c>
      <c r="B39" s="7">
        <v>45689</v>
      </c>
      <c r="C39" s="6">
        <v>2025</v>
      </c>
      <c r="D39" s="6">
        <v>2</v>
      </c>
      <c r="E39" s="6" t="s">
        <v>76</v>
      </c>
      <c r="F39" s="6">
        <v>28</v>
      </c>
      <c r="G39" s="6">
        <v>672</v>
      </c>
      <c r="H39" s="8">
        <v>40067317.229999997</v>
      </c>
      <c r="I39" s="8">
        <v>59623.98</v>
      </c>
      <c r="J39" s="8">
        <v>73879.92</v>
      </c>
      <c r="K39" s="8">
        <v>37601211</v>
      </c>
      <c r="L39" s="8">
        <v>16667015</v>
      </c>
      <c r="M39" s="8">
        <v>20189210.25</v>
      </c>
      <c r="N39" s="8">
        <v>744985.75</v>
      </c>
      <c r="O39" s="9">
        <v>44.33</v>
      </c>
      <c r="P39" s="10">
        <v>128.52000000000001</v>
      </c>
      <c r="Q39" s="10">
        <v>37.1</v>
      </c>
      <c r="R39" s="10">
        <v>298.91000000000003</v>
      </c>
      <c r="S39" s="6">
        <v>0</v>
      </c>
      <c r="T39" s="6">
        <v>672</v>
      </c>
      <c r="U39" s="6" t="str">
        <f t="shared" si="0"/>
        <v>2025-02</v>
      </c>
      <c r="V39" s="11">
        <f t="shared" si="1"/>
        <v>40.067317229999993</v>
      </c>
      <c r="W39" s="11">
        <f t="shared" si="2"/>
        <v>59.623980000000003</v>
      </c>
      <c r="X39" s="11">
        <f t="shared" si="3"/>
        <v>73.879919999999998</v>
      </c>
      <c r="Y39" s="11">
        <f t="shared" si="4"/>
        <v>16.667014999999999</v>
      </c>
      <c r="Z39" s="11">
        <f t="shared" si="5"/>
        <v>20.189210249999999</v>
      </c>
      <c r="AA39" s="11">
        <f t="shared" si="6"/>
        <v>0.74498575</v>
      </c>
      <c r="AB39" s="12">
        <f t="shared" si="7"/>
        <v>0</v>
      </c>
      <c r="AC39" s="8">
        <f t="shared" si="8"/>
        <v>86365.440000000002</v>
      </c>
    </row>
    <row r="40" spans="1:29">
      <c r="A40" s="6">
        <v>202503</v>
      </c>
      <c r="B40" s="7">
        <v>45717</v>
      </c>
      <c r="C40" s="6">
        <v>2025</v>
      </c>
      <c r="D40" s="6">
        <v>3</v>
      </c>
      <c r="E40" s="6" t="s">
        <v>77</v>
      </c>
      <c r="F40" s="6">
        <v>31</v>
      </c>
      <c r="G40" s="6">
        <v>743</v>
      </c>
      <c r="H40" s="8">
        <v>40563594.770000003</v>
      </c>
      <c r="I40" s="8">
        <v>54594.34</v>
      </c>
      <c r="J40" s="8">
        <v>68768.47</v>
      </c>
      <c r="K40" s="8">
        <v>37707997.770000003</v>
      </c>
      <c r="L40" s="8">
        <v>19469569.02</v>
      </c>
      <c r="M40" s="8">
        <v>17335289.75</v>
      </c>
      <c r="N40" s="8">
        <v>903139</v>
      </c>
      <c r="O40" s="9">
        <v>51.63</v>
      </c>
      <c r="P40" s="10">
        <v>94.73</v>
      </c>
      <c r="Q40" s="10">
        <v>-26.07</v>
      </c>
      <c r="R40" s="10">
        <v>280.07</v>
      </c>
      <c r="S40" s="6">
        <v>30</v>
      </c>
      <c r="T40" s="6">
        <v>743</v>
      </c>
      <c r="U40" s="6" t="str">
        <f t="shared" si="0"/>
        <v>2025-03</v>
      </c>
      <c r="V40" s="11">
        <f t="shared" si="1"/>
        <v>40.563594770000002</v>
      </c>
      <c r="W40" s="11">
        <f t="shared" si="2"/>
        <v>54.594339999999995</v>
      </c>
      <c r="X40" s="11">
        <f t="shared" si="3"/>
        <v>68.768470000000008</v>
      </c>
      <c r="Y40" s="11">
        <f t="shared" si="4"/>
        <v>19.469569019999998</v>
      </c>
      <c r="Z40" s="11">
        <f t="shared" si="5"/>
        <v>17.335289750000001</v>
      </c>
      <c r="AA40" s="11">
        <f t="shared" si="6"/>
        <v>0.90313900000000003</v>
      </c>
      <c r="AB40" s="12">
        <f t="shared" si="7"/>
        <v>4.0376850605652756E-2</v>
      </c>
      <c r="AC40" s="8">
        <f t="shared" si="8"/>
        <v>70384.39</v>
      </c>
    </row>
    <row r="41" spans="1:29">
      <c r="A41" s="6">
        <v>202504</v>
      </c>
      <c r="B41" s="7">
        <v>45748</v>
      </c>
      <c r="C41" s="6">
        <v>2025</v>
      </c>
      <c r="D41" s="6">
        <v>4</v>
      </c>
      <c r="E41" s="6" t="s">
        <v>78</v>
      </c>
      <c r="F41" s="6">
        <v>30</v>
      </c>
      <c r="G41" s="6">
        <v>720</v>
      </c>
      <c r="H41" s="8">
        <v>36341729.390000001</v>
      </c>
      <c r="I41" s="8">
        <v>50474.62</v>
      </c>
      <c r="J41" s="8">
        <v>64819.75</v>
      </c>
      <c r="K41" s="8">
        <v>33490498.25</v>
      </c>
      <c r="L41" s="8">
        <v>19933584.25</v>
      </c>
      <c r="M41" s="8">
        <v>12601998.75</v>
      </c>
      <c r="N41" s="8">
        <v>954915.25</v>
      </c>
      <c r="O41" s="9">
        <v>59.52</v>
      </c>
      <c r="P41" s="10">
        <v>77.94</v>
      </c>
      <c r="Q41" s="10">
        <v>-129.81</v>
      </c>
      <c r="R41" s="10">
        <v>263.2</v>
      </c>
      <c r="S41" s="6">
        <v>75</v>
      </c>
      <c r="T41" s="6">
        <v>720</v>
      </c>
      <c r="U41" s="6" t="str">
        <f t="shared" si="0"/>
        <v>2025-04</v>
      </c>
      <c r="V41" s="11">
        <f t="shared" si="1"/>
        <v>36.341729389999998</v>
      </c>
      <c r="W41" s="11">
        <f t="shared" si="2"/>
        <v>50.474620000000002</v>
      </c>
      <c r="X41" s="11">
        <f t="shared" si="3"/>
        <v>64.819749999999999</v>
      </c>
      <c r="Y41" s="11">
        <f t="shared" si="4"/>
        <v>19.933584249999999</v>
      </c>
      <c r="Z41" s="11">
        <f t="shared" si="5"/>
        <v>12.60199875</v>
      </c>
      <c r="AA41" s="11">
        <f t="shared" si="6"/>
        <v>0.95491524999999999</v>
      </c>
      <c r="AB41" s="12">
        <f t="shared" si="7"/>
        <v>0.10416666666666667</v>
      </c>
      <c r="AC41" s="8">
        <f t="shared" si="8"/>
        <v>56116.799999999996</v>
      </c>
    </row>
    <row r="42" spans="1:29">
      <c r="A42" s="6">
        <v>202505</v>
      </c>
      <c r="B42" s="7">
        <v>45778</v>
      </c>
      <c r="C42" s="6">
        <v>2025</v>
      </c>
      <c r="D42" s="6">
        <v>5</v>
      </c>
      <c r="E42" s="6" t="s">
        <v>79</v>
      </c>
      <c r="F42" s="6">
        <v>31</v>
      </c>
      <c r="G42" s="6">
        <v>744</v>
      </c>
      <c r="H42" s="8">
        <v>36264727.810000002</v>
      </c>
      <c r="I42" s="8">
        <v>48742.91</v>
      </c>
      <c r="J42" s="8">
        <v>63699.13</v>
      </c>
      <c r="K42" s="8">
        <v>34504090</v>
      </c>
      <c r="L42" s="8">
        <v>24114296.25</v>
      </c>
      <c r="M42" s="8">
        <v>9404821.75</v>
      </c>
      <c r="N42" s="8">
        <v>984972</v>
      </c>
      <c r="O42" s="9">
        <v>69.89</v>
      </c>
      <c r="P42" s="10">
        <v>67.34</v>
      </c>
      <c r="Q42" s="10">
        <v>-250.32</v>
      </c>
      <c r="R42" s="10">
        <v>229.11</v>
      </c>
      <c r="S42" s="6">
        <v>129</v>
      </c>
      <c r="T42" s="6">
        <v>744</v>
      </c>
      <c r="U42" s="6" t="str">
        <f t="shared" si="0"/>
        <v>2025-05</v>
      </c>
      <c r="V42" s="11">
        <f t="shared" si="1"/>
        <v>36.264727810000004</v>
      </c>
      <c r="W42" s="11">
        <f t="shared" si="2"/>
        <v>48.742910000000002</v>
      </c>
      <c r="X42" s="11">
        <f t="shared" si="3"/>
        <v>63.699129999999997</v>
      </c>
      <c r="Y42" s="11">
        <f t="shared" si="4"/>
        <v>24.114296249999999</v>
      </c>
      <c r="Z42" s="11">
        <f t="shared" si="5"/>
        <v>9.40482175</v>
      </c>
      <c r="AA42" s="11">
        <f t="shared" si="6"/>
        <v>0.98497199999999996</v>
      </c>
      <c r="AB42" s="12">
        <f t="shared" si="7"/>
        <v>0.17338709677419356</v>
      </c>
      <c r="AC42" s="8">
        <f t="shared" si="8"/>
        <v>50100.959999999999</v>
      </c>
    </row>
    <row r="43" spans="1:29">
      <c r="A43" s="6">
        <v>202506</v>
      </c>
      <c r="B43" s="7">
        <v>45809</v>
      </c>
      <c r="C43" s="6">
        <v>2025</v>
      </c>
      <c r="D43" s="6">
        <v>6</v>
      </c>
      <c r="E43" s="6" t="s">
        <v>80</v>
      </c>
      <c r="F43" s="6">
        <v>30</v>
      </c>
      <c r="G43" s="6">
        <v>720</v>
      </c>
      <c r="H43" s="8">
        <v>35278341.43</v>
      </c>
      <c r="I43" s="8">
        <v>48997.7</v>
      </c>
      <c r="J43" s="8">
        <v>63766.42</v>
      </c>
      <c r="K43" s="8">
        <v>34502382</v>
      </c>
      <c r="L43" s="8">
        <v>25289737.25</v>
      </c>
      <c r="M43" s="8">
        <v>8295866.5</v>
      </c>
      <c r="N43" s="8">
        <v>916778.25</v>
      </c>
      <c r="O43" s="9">
        <v>73.3</v>
      </c>
      <c r="P43" s="10">
        <v>63.99</v>
      </c>
      <c r="Q43" s="10">
        <v>-99.01</v>
      </c>
      <c r="R43" s="10">
        <v>288.97000000000003</v>
      </c>
      <c r="S43" s="6">
        <v>141</v>
      </c>
      <c r="T43" s="6">
        <v>720</v>
      </c>
      <c r="U43" s="6" t="str">
        <f t="shared" si="0"/>
        <v>2025-06</v>
      </c>
      <c r="V43" s="11">
        <f t="shared" si="1"/>
        <v>35.278341429999998</v>
      </c>
      <c r="W43" s="11">
        <f t="shared" si="2"/>
        <v>48.997699999999995</v>
      </c>
      <c r="X43" s="11">
        <f t="shared" si="3"/>
        <v>63.766419999999997</v>
      </c>
      <c r="Y43" s="11">
        <f t="shared" si="4"/>
        <v>25.289737250000002</v>
      </c>
      <c r="Z43" s="11">
        <f t="shared" si="5"/>
        <v>8.2958665000000007</v>
      </c>
      <c r="AA43" s="11">
        <f t="shared" si="6"/>
        <v>0.91677825000000002</v>
      </c>
      <c r="AB43" s="12">
        <f t="shared" si="7"/>
        <v>0.19583333333333333</v>
      </c>
      <c r="AC43" s="8">
        <f t="shared" si="8"/>
        <v>46072.800000000003</v>
      </c>
    </row>
    <row r="44" spans="1:29">
      <c r="A44" s="6">
        <v>202507</v>
      </c>
      <c r="B44" s="7">
        <v>45839</v>
      </c>
      <c r="C44" s="6">
        <v>2025</v>
      </c>
      <c r="D44" s="6">
        <v>7</v>
      </c>
      <c r="E44" s="6" t="s">
        <v>81</v>
      </c>
      <c r="F44" s="6">
        <v>31</v>
      </c>
      <c r="G44" s="6">
        <v>744</v>
      </c>
      <c r="H44" s="8">
        <v>37035779.420000002</v>
      </c>
      <c r="I44" s="8">
        <v>49779.27</v>
      </c>
      <c r="J44" s="8">
        <v>64026.38</v>
      </c>
      <c r="K44" s="8">
        <v>33616454.670000002</v>
      </c>
      <c r="L44" s="8">
        <v>21139579.920000002</v>
      </c>
      <c r="M44" s="8">
        <v>11667944.5</v>
      </c>
      <c r="N44" s="8">
        <v>808930.25</v>
      </c>
      <c r="O44" s="9">
        <v>62.88</v>
      </c>
      <c r="P44" s="10">
        <v>87.8</v>
      </c>
      <c r="Q44" s="10">
        <v>-2.2599999999999998</v>
      </c>
      <c r="R44" s="10">
        <v>476.19</v>
      </c>
      <c r="S44" s="6">
        <v>12</v>
      </c>
      <c r="T44" s="6">
        <v>744</v>
      </c>
      <c r="U44" s="6" t="str">
        <f t="shared" si="0"/>
        <v>2025-07</v>
      </c>
      <c r="V44" s="11">
        <f t="shared" si="1"/>
        <v>37.035779420000004</v>
      </c>
      <c r="W44" s="11">
        <f t="shared" si="2"/>
        <v>49.779269999999997</v>
      </c>
      <c r="X44" s="11">
        <f t="shared" si="3"/>
        <v>64.026380000000003</v>
      </c>
      <c r="Y44" s="11">
        <f t="shared" si="4"/>
        <v>21.139579920000003</v>
      </c>
      <c r="Z44" s="11">
        <f t="shared" si="5"/>
        <v>11.667944500000001</v>
      </c>
      <c r="AA44" s="11">
        <f t="shared" si="6"/>
        <v>0.80893024999999996</v>
      </c>
      <c r="AB44" s="12">
        <f t="shared" si="7"/>
        <v>1.6129032258064516E-2</v>
      </c>
      <c r="AC44" s="8">
        <f t="shared" si="8"/>
        <v>65323.199999999997</v>
      </c>
    </row>
    <row r="45" spans="1:29">
      <c r="A45" s="6">
        <v>202508</v>
      </c>
      <c r="B45" s="7">
        <v>45870</v>
      </c>
      <c r="C45" s="6">
        <v>2025</v>
      </c>
      <c r="D45" s="6">
        <v>8</v>
      </c>
      <c r="E45" s="6" t="s">
        <v>82</v>
      </c>
      <c r="F45" s="6">
        <v>31</v>
      </c>
      <c r="G45" s="6">
        <v>744</v>
      </c>
      <c r="H45" s="8">
        <v>35373436.100000001</v>
      </c>
      <c r="I45" s="8">
        <v>47544.94</v>
      </c>
      <c r="J45" s="8">
        <v>61810.2</v>
      </c>
      <c r="K45" s="8">
        <v>31975152.34</v>
      </c>
      <c r="L45" s="8">
        <v>21220000.09</v>
      </c>
      <c r="M45" s="8">
        <v>9912107</v>
      </c>
      <c r="N45" s="8">
        <v>843045.25</v>
      </c>
      <c r="O45" s="9">
        <v>66.36</v>
      </c>
      <c r="P45" s="10">
        <v>76.989999999999995</v>
      </c>
      <c r="Q45" s="10">
        <v>-61.08</v>
      </c>
      <c r="R45" s="10">
        <v>283.89</v>
      </c>
      <c r="S45" s="6">
        <v>64</v>
      </c>
      <c r="T45" s="6">
        <v>744</v>
      </c>
      <c r="U45" s="6" t="str">
        <f t="shared" si="0"/>
        <v>2025-08</v>
      </c>
      <c r="V45" s="11">
        <f t="shared" si="1"/>
        <v>35.373436099999999</v>
      </c>
      <c r="W45" s="11">
        <f t="shared" si="2"/>
        <v>47.544940000000004</v>
      </c>
      <c r="X45" s="11">
        <f t="shared" si="3"/>
        <v>61.810199999999995</v>
      </c>
      <c r="Y45" s="11">
        <f t="shared" si="4"/>
        <v>21.220000089999999</v>
      </c>
      <c r="Z45" s="11">
        <f t="shared" si="5"/>
        <v>9.9121070000000007</v>
      </c>
      <c r="AA45" s="11">
        <f t="shared" si="6"/>
        <v>0.84304524999999997</v>
      </c>
      <c r="AB45" s="12">
        <f t="shared" si="7"/>
        <v>8.6021505376344093E-2</v>
      </c>
      <c r="AC45" s="8">
        <f t="shared" si="8"/>
        <v>57280.56</v>
      </c>
    </row>
    <row r="46" spans="1:29">
      <c r="A46" s="6">
        <v>202509</v>
      </c>
      <c r="B46" s="7">
        <v>45901</v>
      </c>
      <c r="C46" s="6">
        <v>2025</v>
      </c>
      <c r="D46" s="6">
        <v>9</v>
      </c>
      <c r="E46" s="6" t="s">
        <v>83</v>
      </c>
      <c r="F46" s="6">
        <v>30</v>
      </c>
      <c r="G46" s="6">
        <v>720</v>
      </c>
      <c r="H46" s="8">
        <v>36471748.950000003</v>
      </c>
      <c r="I46" s="8">
        <v>50655.21</v>
      </c>
      <c r="J46" s="8">
        <v>65972.03</v>
      </c>
      <c r="K46" s="8">
        <v>34504646.399999999</v>
      </c>
      <c r="L46" s="8">
        <v>22642824.649999999</v>
      </c>
      <c r="M46" s="8">
        <v>11128170.5</v>
      </c>
      <c r="N46" s="8">
        <v>733651.25</v>
      </c>
      <c r="O46" s="9">
        <v>65.62</v>
      </c>
      <c r="P46" s="10">
        <v>83.51</v>
      </c>
      <c r="Q46" s="10">
        <v>-53.4</v>
      </c>
      <c r="R46" s="10">
        <v>413.66</v>
      </c>
      <c r="S46" s="6">
        <v>60</v>
      </c>
      <c r="T46" s="6">
        <v>720</v>
      </c>
      <c r="U46" s="6" t="str">
        <f t="shared" si="0"/>
        <v>2025-09</v>
      </c>
      <c r="V46" s="11">
        <f t="shared" si="1"/>
        <v>36.471748950000006</v>
      </c>
      <c r="W46" s="11">
        <f t="shared" si="2"/>
        <v>50.655209999999997</v>
      </c>
      <c r="X46" s="11">
        <f t="shared" si="3"/>
        <v>65.972030000000004</v>
      </c>
      <c r="Y46" s="11">
        <f t="shared" si="4"/>
        <v>22.642824649999998</v>
      </c>
      <c r="Z46" s="11">
        <f t="shared" si="5"/>
        <v>11.1281705</v>
      </c>
      <c r="AA46" s="11">
        <f t="shared" si="6"/>
        <v>0.73365124999999998</v>
      </c>
      <c r="AB46" s="12">
        <f t="shared" si="7"/>
        <v>8.3333333333333329E-2</v>
      </c>
      <c r="AC46" s="8">
        <f t="shared" si="8"/>
        <v>60127.200000000004</v>
      </c>
    </row>
    <row r="47" spans="1:29">
      <c r="A47" s="6">
        <v>202510</v>
      </c>
      <c r="B47" s="7">
        <v>45931</v>
      </c>
      <c r="C47" s="6">
        <v>2025</v>
      </c>
      <c r="D47" s="6">
        <v>10</v>
      </c>
      <c r="E47" s="6" t="s">
        <v>84</v>
      </c>
      <c r="F47" s="6">
        <v>31</v>
      </c>
      <c r="G47" s="6">
        <v>745</v>
      </c>
      <c r="H47" s="8">
        <v>40475526.450000003</v>
      </c>
      <c r="I47" s="8">
        <v>54329.57</v>
      </c>
      <c r="J47" s="8">
        <v>69184.45</v>
      </c>
      <c r="K47" s="8">
        <v>39711732.810000002</v>
      </c>
      <c r="L47" s="8">
        <v>24470605.359999999</v>
      </c>
      <c r="M47" s="8">
        <v>14484390.35</v>
      </c>
      <c r="N47" s="8">
        <v>756737.1</v>
      </c>
      <c r="O47" s="9">
        <v>61.62</v>
      </c>
      <c r="P47" s="10">
        <v>84.4</v>
      </c>
      <c r="Q47" s="10">
        <v>-4.9800000000000004</v>
      </c>
      <c r="R47" s="10">
        <v>407.21</v>
      </c>
      <c r="S47" s="6">
        <v>48</v>
      </c>
      <c r="T47" s="6">
        <v>745</v>
      </c>
      <c r="U47" s="6" t="str">
        <f t="shared" si="0"/>
        <v>2025-10</v>
      </c>
      <c r="V47" s="11">
        <f t="shared" si="1"/>
        <v>40.475526450000004</v>
      </c>
      <c r="W47" s="11">
        <f t="shared" si="2"/>
        <v>54.329569999999997</v>
      </c>
      <c r="X47" s="11">
        <f t="shared" si="3"/>
        <v>69.184449999999998</v>
      </c>
      <c r="Y47" s="11">
        <f t="shared" si="4"/>
        <v>24.47060536</v>
      </c>
      <c r="Z47" s="11">
        <f t="shared" si="5"/>
        <v>14.48439035</v>
      </c>
      <c r="AA47" s="11">
        <f t="shared" si="6"/>
        <v>0.75673709999999994</v>
      </c>
      <c r="AB47" s="12">
        <f t="shared" si="7"/>
        <v>6.4429530201342289E-2</v>
      </c>
      <c r="AC47" s="8">
        <f t="shared" si="8"/>
        <v>62878.000000000007</v>
      </c>
    </row>
    <row r="48" spans="1:29">
      <c r="A48" s="6">
        <v>202511</v>
      </c>
      <c r="B48" s="7">
        <v>45962</v>
      </c>
      <c r="C48" s="6">
        <v>2025</v>
      </c>
      <c r="D48" s="6">
        <v>11</v>
      </c>
      <c r="E48" s="6" t="s">
        <v>85</v>
      </c>
      <c r="F48" s="6">
        <v>30</v>
      </c>
      <c r="G48" s="6">
        <v>720</v>
      </c>
      <c r="H48" s="8">
        <v>41470312.229999997</v>
      </c>
      <c r="I48" s="8">
        <v>57597.66</v>
      </c>
      <c r="J48" s="8">
        <v>75635.210000000006</v>
      </c>
      <c r="K48" s="8">
        <v>38420121.82</v>
      </c>
      <c r="L48" s="8">
        <v>19114679.739999998</v>
      </c>
      <c r="M48" s="8">
        <v>18631879.73</v>
      </c>
      <c r="N48" s="8">
        <v>673562.35</v>
      </c>
      <c r="O48" s="9">
        <v>49.75</v>
      </c>
      <c r="P48" s="10">
        <v>101.88</v>
      </c>
      <c r="Q48" s="10">
        <v>4.93</v>
      </c>
      <c r="R48" s="10">
        <v>373.31</v>
      </c>
      <c r="S48" s="6">
        <v>0</v>
      </c>
      <c r="T48" s="6">
        <v>720</v>
      </c>
      <c r="U48" s="6" t="str">
        <f t="shared" si="0"/>
        <v>2025-11</v>
      </c>
      <c r="V48" s="11">
        <f t="shared" si="1"/>
        <v>41.470312229999998</v>
      </c>
      <c r="W48" s="11">
        <f t="shared" si="2"/>
        <v>57.597660000000005</v>
      </c>
      <c r="X48" s="11">
        <f t="shared" si="3"/>
        <v>75.635210000000001</v>
      </c>
      <c r="Y48" s="11">
        <f t="shared" si="4"/>
        <v>19.11467974</v>
      </c>
      <c r="Z48" s="11">
        <f t="shared" si="5"/>
        <v>18.631879730000001</v>
      </c>
      <c r="AA48" s="11">
        <f t="shared" si="6"/>
        <v>0.67356234999999998</v>
      </c>
      <c r="AB48" s="12">
        <f t="shared" si="7"/>
        <v>0</v>
      </c>
      <c r="AC48" s="8">
        <f t="shared" si="8"/>
        <v>73353.599999999991</v>
      </c>
    </row>
    <row r="49" spans="1:29">
      <c r="A49" s="13">
        <v>202512</v>
      </c>
      <c r="B49" s="14">
        <v>45992</v>
      </c>
      <c r="C49" s="13">
        <v>2025</v>
      </c>
      <c r="D49" s="13">
        <v>12</v>
      </c>
      <c r="E49" s="13" t="s">
        <v>86</v>
      </c>
      <c r="F49" s="13">
        <v>31</v>
      </c>
      <c r="G49" s="13">
        <v>744</v>
      </c>
      <c r="H49" s="15">
        <v>42304479.649999999</v>
      </c>
      <c r="I49" s="15">
        <v>56860.86</v>
      </c>
      <c r="J49" s="15">
        <v>73852.2</v>
      </c>
      <c r="K49" s="15">
        <v>39429885.490000002</v>
      </c>
      <c r="L49" s="15">
        <v>21712494.609999999</v>
      </c>
      <c r="M49" s="15">
        <v>16997674.640000001</v>
      </c>
      <c r="N49" s="15">
        <v>719716.24</v>
      </c>
      <c r="O49" s="16">
        <v>55.07</v>
      </c>
      <c r="P49" s="17">
        <v>93.47</v>
      </c>
      <c r="Q49" s="17">
        <v>3.51</v>
      </c>
      <c r="R49" s="17">
        <v>308.35000000000002</v>
      </c>
      <c r="S49" s="13">
        <v>0</v>
      </c>
      <c r="T49" s="13">
        <v>744</v>
      </c>
      <c r="U49" s="13" t="str">
        <f t="shared" si="0"/>
        <v>2025-12</v>
      </c>
      <c r="V49" s="18">
        <f t="shared" si="1"/>
        <v>42.304479649999998</v>
      </c>
      <c r="W49" s="18">
        <f t="shared" si="2"/>
        <v>56.860860000000002</v>
      </c>
      <c r="X49" s="18">
        <f t="shared" si="3"/>
        <v>73.852199999999996</v>
      </c>
      <c r="Y49" s="18">
        <f t="shared" si="4"/>
        <v>21.71249461</v>
      </c>
      <c r="Z49" s="18">
        <f t="shared" si="5"/>
        <v>16.99767464</v>
      </c>
      <c r="AA49" s="18">
        <f t="shared" si="6"/>
        <v>0.71971624000000001</v>
      </c>
      <c r="AB49" s="19">
        <f t="shared" si="7"/>
        <v>0</v>
      </c>
      <c r="AC49" s="15">
        <f t="shared" si="8"/>
        <v>69541.679999999993</v>
      </c>
    </row>
  </sheetData>
  <conditionalFormatting sqref="AB2:AB49">
    <cfRule type="dataBar" priority="1">
      <dataBar>
        <cfvo type="min"/>
        <cfvo type="max"/>
        <color rgb="FFF4B942"/>
      </dataBar>
    </cfRule>
    <cfRule type="dataBar" priority="2">
      <dataBar>
        <cfvo type="min"/>
        <cfvo type="max"/>
        <color rgb="FFF4B942"/>
      </dataBar>
      <extLst>
        <ext xmlns:x14="http://schemas.microsoft.com/office/spreadsheetml/2009/9/main" uri="{B025F937-C7B1-47D3-B67F-A62EFF666E3E}">
          <x14:id>{2CAF2126-6D93-FE31-1058-A37B8F014625}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AF2126-6D93-FE31-1058-A37B8F014625}">
            <x14:dataBar>
              <x14:cfvo type="min"/>
              <x14:cfvo type="max"/>
              <x14:negativeFillColor auto="1"/>
              <x14:axisColor auto="1"/>
            </x14:dataBar>
          </x14:cfRule>
          <xm:sqref>AB2:AB49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showGridLines="0" workbookViewId="0">
      <selection sqref="A1:K2"/>
    </sheetView>
  </sheetViews>
  <sheetFormatPr defaultRowHeight="13.8"/>
  <cols>
    <col min="1" max="1" width="11" customWidth="1"/>
    <col min="2" max="11" width="16" customWidth="1"/>
  </cols>
  <sheetData>
    <row r="1" spans="1:11">
      <c r="A1" s="119" t="s">
        <v>87</v>
      </c>
      <c r="B1" s="119" t="s">
        <v>87</v>
      </c>
      <c r="C1" s="119" t="s">
        <v>87</v>
      </c>
      <c r="D1" s="119" t="s">
        <v>87</v>
      </c>
      <c r="E1" s="119" t="s">
        <v>87</v>
      </c>
      <c r="F1" s="119" t="s">
        <v>87</v>
      </c>
      <c r="G1" s="119" t="s">
        <v>87</v>
      </c>
      <c r="H1" s="119" t="s">
        <v>87</v>
      </c>
      <c r="I1" s="119" t="s">
        <v>87</v>
      </c>
      <c r="J1" s="119" t="s">
        <v>87</v>
      </c>
      <c r="K1" s="119" t="s">
        <v>87</v>
      </c>
    </row>
    <row r="2" spans="1:11">
      <c r="A2" s="119" t="s">
        <v>87</v>
      </c>
      <c r="B2" s="119" t="s">
        <v>87</v>
      </c>
      <c r="C2" s="119" t="s">
        <v>87</v>
      </c>
      <c r="D2" s="119" t="s">
        <v>87</v>
      </c>
      <c r="E2" s="119" t="s">
        <v>87</v>
      </c>
      <c r="F2" s="119" t="s">
        <v>87</v>
      </c>
      <c r="G2" s="119" t="s">
        <v>87</v>
      </c>
      <c r="H2" s="119" t="s">
        <v>87</v>
      </c>
      <c r="I2" s="119" t="s">
        <v>87</v>
      </c>
      <c r="J2" s="119" t="s">
        <v>87</v>
      </c>
      <c r="K2" s="119" t="s">
        <v>87</v>
      </c>
    </row>
    <row r="3" spans="1:11">
      <c r="A3" s="51" t="s">
        <v>88</v>
      </c>
      <c r="B3" s="51" t="s">
        <v>88</v>
      </c>
      <c r="C3" s="51" t="s">
        <v>88</v>
      </c>
      <c r="D3" s="51" t="s">
        <v>88</v>
      </c>
      <c r="E3" s="51" t="s">
        <v>88</v>
      </c>
      <c r="F3" s="51" t="s">
        <v>88</v>
      </c>
      <c r="G3" s="51" t="s">
        <v>88</v>
      </c>
      <c r="H3" s="51" t="s">
        <v>88</v>
      </c>
      <c r="I3" s="51" t="s">
        <v>88</v>
      </c>
      <c r="J3" s="51" t="s">
        <v>88</v>
      </c>
      <c r="K3" s="51" t="s">
        <v>88</v>
      </c>
    </row>
    <row r="5" spans="1:11" ht="37.950000000000003" customHeight="1">
      <c r="A5" s="20" t="s">
        <v>89</v>
      </c>
      <c r="B5" s="20" t="s">
        <v>90</v>
      </c>
      <c r="C5" s="20" t="s">
        <v>91</v>
      </c>
      <c r="D5" s="20" t="s">
        <v>92</v>
      </c>
      <c r="E5" s="20" t="s">
        <v>93</v>
      </c>
      <c r="F5" s="20" t="s">
        <v>94</v>
      </c>
      <c r="G5" s="20" t="s">
        <v>95</v>
      </c>
      <c r="H5" s="20" t="s">
        <v>96</v>
      </c>
      <c r="I5" s="20" t="s">
        <v>97</v>
      </c>
      <c r="J5" s="20" t="s">
        <v>98</v>
      </c>
      <c r="K5" s="20" t="s">
        <v>99</v>
      </c>
    </row>
    <row r="6" spans="1:11">
      <c r="A6" s="21">
        <v>2022</v>
      </c>
      <c r="B6" s="23">
        <f>SUMIF(MonthlyEnergy!$C$2:$C$49,$A6,MonthlyEnergy!$G$2:$G$49)</f>
        <v>8760</v>
      </c>
      <c r="C6" s="25">
        <f>SUMIF(MonthlyEnergy!$C$2:$C$49,$A6,MonthlyEnergy!$H$2:$H$49)/1000000</f>
        <v>482.29594874999998</v>
      </c>
      <c r="D6" s="25">
        <f>SUMIF(MonthlyEnergy!$C$2:$C$49,$A6,MonthlyEnergy!$H$2:$H$49)/SUMIF(MonthlyEnergy!$C$2:$C$49,$A6,MonthlyEnergy!$G$2:$G$49)/1000</f>
        <v>55.056615154109586</v>
      </c>
      <c r="E6" s="25">
        <f>SUMIF(MonthlyEnergy!$C$2:$C$49,$A6,MonthlyEnergy!$K$2:$K$49)/1000000</f>
        <v>499.98147575000002</v>
      </c>
      <c r="F6" s="25">
        <f>SUMIF(MonthlyEnergy!$C$2:$C$49,$A6,MonthlyEnergy!$L$2:$L$49)/1000000</f>
        <v>233.293915</v>
      </c>
      <c r="G6" s="27">
        <f>SUMIF(MonthlyEnergy!$C$2:$C$49,$A6,MonthlyEnergy!$L$2:$L$49)/SUMIF(MonthlyEnergy!$C$2:$C$49,$A6,MonthlyEnergy!$K$2:$K$49)</f>
        <v>0.46660511701967788</v>
      </c>
      <c r="H6" s="29">
        <f>SUMIF(MonthlyEnergy!$C$2:$C$49,$A6,MonthlyEnergy!$AC$2:$AC$49)/B6</f>
        <v>235.44596689497715</v>
      </c>
      <c r="I6" s="23">
        <f>SUMIF(MonthlyEnergy!$C$2:$C$49,$A6,MonthlyEnergy!$S$2:$S$49)</f>
        <v>69</v>
      </c>
      <c r="J6" s="27">
        <f>I6/B6</f>
        <v>7.8767123287671239E-3</v>
      </c>
      <c r="K6" s="23">
        <f>SUMIF(MonthlyEnergy!$C$2:$C$49,$A6,MonthlyEnergy!$T$2:$T$49)</f>
        <v>0</v>
      </c>
    </row>
    <row r="7" spans="1:11">
      <c r="A7" s="21">
        <v>2023</v>
      </c>
      <c r="B7" s="23">
        <f>SUMIF(MonthlyEnergy!$C$2:$C$49,$A7,MonthlyEnergy!$G$2:$G$49)</f>
        <v>8760</v>
      </c>
      <c r="C7" s="25">
        <f>SUMIF(MonthlyEnergy!$C$2:$C$49,$A7,MonthlyEnergy!$H$2:$H$49)/1000000</f>
        <v>458.38173225000003</v>
      </c>
      <c r="D7" s="25">
        <f>SUMIF(MonthlyEnergy!$C$2:$C$49,$A7,MonthlyEnergy!$H$2:$H$49)/SUMIF(MonthlyEnergy!$C$2:$C$49,$A7,MonthlyEnergy!$G$2:$G$49)/1000</f>
        <v>52.32668176369863</v>
      </c>
      <c r="E7" s="25">
        <f>SUMIF(MonthlyEnergy!$C$2:$C$49,$A7,MonthlyEnergy!$K$2:$K$49)/1000000</f>
        <v>453.55033950000001</v>
      </c>
      <c r="F7" s="25">
        <f>SUMIF(MonthlyEnergy!$C$2:$C$49,$A7,MonthlyEnergy!$L$2:$L$49)/1000000</f>
        <v>251.59137125000001</v>
      </c>
      <c r="G7" s="27">
        <f>SUMIF(MonthlyEnergy!$C$2:$C$49,$A7,MonthlyEnergy!$L$2:$L$49)/SUMIF(MonthlyEnergy!$C$2:$C$49,$A7,MonthlyEnergy!$K$2:$K$49)</f>
        <v>0.5547154292230444</v>
      </c>
      <c r="H7" s="29">
        <f>SUMIF(MonthlyEnergy!$C$2:$C$49,$A7,MonthlyEnergy!$AC$2:$AC$49)/B7</f>
        <v>95.17575114155251</v>
      </c>
      <c r="I7" s="23">
        <f>SUMIF(MonthlyEnergy!$C$2:$C$49,$A7,MonthlyEnergy!$S$2:$S$49)</f>
        <v>301</v>
      </c>
      <c r="J7" s="27">
        <f>I7/B7</f>
        <v>3.4360730593607308E-2</v>
      </c>
      <c r="K7" s="23">
        <f>SUMIF(MonthlyEnergy!$C$2:$C$49,$A7,MonthlyEnergy!$T$2:$T$49)</f>
        <v>0</v>
      </c>
    </row>
    <row r="8" spans="1:11">
      <c r="A8" s="21">
        <v>2024</v>
      </c>
      <c r="B8" s="23">
        <f>SUMIF(MonthlyEnergy!$C$2:$C$49,$A8,MonthlyEnergy!$G$2:$G$49)</f>
        <v>8784</v>
      </c>
      <c r="C8" s="25">
        <f>SUMIF(MonthlyEnergy!$C$2:$C$49,$A8,MonthlyEnergy!$H$2:$H$49)/1000000</f>
        <v>465.50285778</v>
      </c>
      <c r="D8" s="25">
        <f>SUMIF(MonthlyEnergy!$C$2:$C$49,$A8,MonthlyEnergy!$H$2:$H$49)/SUMIF(MonthlyEnergy!$C$2:$C$49,$A8,MonthlyEnergy!$G$2:$G$49)/1000</f>
        <v>52.994405484972674</v>
      </c>
      <c r="E8" s="25">
        <f>SUMIF(MonthlyEnergy!$C$2:$C$49,$A8,MonthlyEnergy!$K$2:$K$49)/1000000</f>
        <v>437.65447675000001</v>
      </c>
      <c r="F8" s="25">
        <f>SUMIF(MonthlyEnergy!$C$2:$C$49,$A8,MonthlyEnergy!$L$2:$L$49)/1000000</f>
        <v>256.18399325000001</v>
      </c>
      <c r="G8" s="27">
        <f>SUMIF(MonthlyEnergy!$C$2:$C$49,$A8,MonthlyEnergy!$L$2:$L$49)/SUMIF(MonthlyEnergy!$C$2:$C$49,$A8,MonthlyEnergy!$K$2:$K$49)</f>
        <v>0.58535672970241126</v>
      </c>
      <c r="H8" s="29">
        <f>SUMIF(MonthlyEnergy!$C$2:$C$49,$A8,MonthlyEnergy!$AC$2:$AC$49)/B8</f>
        <v>78.513665755919845</v>
      </c>
      <c r="I8" s="23">
        <f>SUMIF(MonthlyEnergy!$C$2:$C$49,$A8,MonthlyEnergy!$S$2:$S$49)</f>
        <v>457</v>
      </c>
      <c r="J8" s="27">
        <f>I8/B8</f>
        <v>5.2026411657559196E-2</v>
      </c>
      <c r="K8" s="23">
        <f>SUMIF(MonthlyEnergy!$C$2:$C$49,$A8,MonthlyEnergy!$T$2:$T$49)</f>
        <v>8076</v>
      </c>
    </row>
    <row r="9" spans="1:11">
      <c r="A9" s="21">
        <v>2025</v>
      </c>
      <c r="B9" s="23">
        <f>SUMIF(MonthlyEnergy!$C$2:$C$49,$A9,MonthlyEnergy!$G$2:$G$49)</f>
        <v>8760</v>
      </c>
      <c r="C9" s="25">
        <f>SUMIF(MonthlyEnergy!$C$2:$C$49,$A9,MonthlyEnergy!$H$2:$H$49)/1000000</f>
        <v>465.81768318000002</v>
      </c>
      <c r="D9" s="25">
        <f>SUMIF(MonthlyEnergy!$C$2:$C$49,$A9,MonthlyEnergy!$H$2:$H$49)/SUMIF(MonthlyEnergy!$C$2:$C$49,$A9,MonthlyEnergy!$G$2:$G$49)/1000</f>
        <v>53.175534609589043</v>
      </c>
      <c r="E9" s="25">
        <f>SUMIF(MonthlyEnergy!$C$2:$C$49,$A9,MonthlyEnergy!$K$2:$K$49)/1000000</f>
        <v>437.89522282999997</v>
      </c>
      <c r="F9" s="25">
        <f>SUMIF(MonthlyEnergy!$C$2:$C$49,$A9,MonthlyEnergy!$L$2:$L$49)/1000000</f>
        <v>257.75643042000002</v>
      </c>
      <c r="G9" s="27">
        <f>SUMIF(MonthlyEnergy!$C$2:$C$49,$A9,MonthlyEnergy!$L$2:$L$49)/SUMIF(MonthlyEnergy!$C$2:$C$49,$A9,MonthlyEnergy!$K$2:$K$49)</f>
        <v>0.58862581042603979</v>
      </c>
      <c r="H9" s="29">
        <f>SUMIF(MonthlyEnergy!$C$2:$C$49,$A9,MonthlyEnergy!$AC$2:$AC$49)/B9</f>
        <v>89.322464611872149</v>
      </c>
      <c r="I9" s="23">
        <f>SUMIF(MonthlyEnergy!$C$2:$C$49,$A9,MonthlyEnergy!$S$2:$S$49)</f>
        <v>573</v>
      </c>
      <c r="J9" s="27">
        <f>I9/B9</f>
        <v>6.5410958904109584E-2</v>
      </c>
      <c r="K9" s="23">
        <f>SUMIF(MonthlyEnergy!$C$2:$C$49,$A9,MonthlyEnergy!$T$2:$T$49)</f>
        <v>8760</v>
      </c>
    </row>
    <row r="10" spans="1:11">
      <c r="A10" s="22" t="s">
        <v>100</v>
      </c>
      <c r="B10" s="24">
        <f>SUM(MonthlyEnergy!$G$2:$G$49)</f>
        <v>35064</v>
      </c>
      <c r="C10" s="26">
        <f>SUM(MonthlyEnergy!$H$2:$H$49)/1000000</f>
        <v>1871.9982219600004</v>
      </c>
      <c r="D10" s="26">
        <f>SUM(MonthlyEnergy!$H$2:$H$49)/SUM(MonthlyEnergy!$G$2:$G$49)/1000</f>
        <v>53.388039640657091</v>
      </c>
      <c r="E10" s="26">
        <f>SUM(MonthlyEnergy!$K$2:$K$49)/1000000</f>
        <v>1829.0815148299998</v>
      </c>
      <c r="F10" s="26">
        <f>SUM(MonthlyEnergy!$L$2:$L$49)/1000000</f>
        <v>998.82570992000001</v>
      </c>
      <c r="G10" s="28">
        <f>SUM(MonthlyEnergy!$L$2:$L$49)/SUM(MonthlyEnergy!$K$2:$K$49)</f>
        <v>0.54608047909381097</v>
      </c>
      <c r="H10" s="30">
        <f>SUM(MonthlyEnergy!$AC$2:$AC$49)/B10</f>
        <v>124.58290782569017</v>
      </c>
      <c r="I10" s="24">
        <f>SUM(MonthlyEnergy!$S$2:$S$49)</f>
        <v>1400</v>
      </c>
      <c r="J10" s="28">
        <f>I10/B10</f>
        <v>3.992699064567648E-2</v>
      </c>
      <c r="K10" s="24">
        <f>SUM(MonthlyEnergy!$T$2:$T$49)</f>
        <v>16836</v>
      </c>
    </row>
  </sheetData>
  <mergeCells count="2">
    <mergeCell ref="A1:K2"/>
    <mergeCell ref="A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showGridLines="0" workbookViewId="0">
      <selection sqref="A1:N2"/>
    </sheetView>
  </sheetViews>
  <sheetFormatPr defaultRowHeight="13.8"/>
  <cols>
    <col min="1" max="1" width="11" customWidth="1"/>
    <col min="2" max="14" width="10" customWidth="1"/>
  </cols>
  <sheetData>
    <row r="1" spans="1:14">
      <c r="A1" s="119" t="s">
        <v>101</v>
      </c>
      <c r="B1" s="119" t="s">
        <v>101</v>
      </c>
      <c r="C1" s="119" t="s">
        <v>101</v>
      </c>
      <c r="D1" s="119" t="s">
        <v>101</v>
      </c>
      <c r="E1" s="119" t="s">
        <v>101</v>
      </c>
      <c r="F1" s="119" t="s">
        <v>101</v>
      </c>
      <c r="G1" s="119" t="s">
        <v>101</v>
      </c>
      <c r="H1" s="119" t="s">
        <v>101</v>
      </c>
      <c r="I1" s="119" t="s">
        <v>101</v>
      </c>
      <c r="J1" s="119" t="s">
        <v>101</v>
      </c>
      <c r="K1" s="119" t="s">
        <v>101</v>
      </c>
      <c r="L1" s="119" t="s">
        <v>101</v>
      </c>
      <c r="M1" s="119" t="s">
        <v>101</v>
      </c>
      <c r="N1" s="119" t="s">
        <v>101</v>
      </c>
    </row>
    <row r="2" spans="1:14">
      <c r="A2" s="119" t="s">
        <v>101</v>
      </c>
      <c r="B2" s="119" t="s">
        <v>101</v>
      </c>
      <c r="C2" s="119" t="s">
        <v>101</v>
      </c>
      <c r="D2" s="119" t="s">
        <v>101</v>
      </c>
      <c r="E2" s="119" t="s">
        <v>101</v>
      </c>
      <c r="F2" s="119" t="s">
        <v>101</v>
      </c>
      <c r="G2" s="119" t="s">
        <v>101</v>
      </c>
      <c r="H2" s="119" t="s">
        <v>101</v>
      </c>
      <c r="I2" s="119" t="s">
        <v>101</v>
      </c>
      <c r="J2" s="119" t="s">
        <v>101</v>
      </c>
      <c r="K2" s="119" t="s">
        <v>101</v>
      </c>
      <c r="L2" s="119" t="s">
        <v>101</v>
      </c>
      <c r="M2" s="119" t="s">
        <v>101</v>
      </c>
      <c r="N2" s="119" t="s">
        <v>101</v>
      </c>
    </row>
    <row r="3" spans="1:14">
      <c r="A3" s="51" t="s">
        <v>102</v>
      </c>
      <c r="B3" s="51" t="s">
        <v>102</v>
      </c>
      <c r="C3" s="51" t="s">
        <v>102</v>
      </c>
      <c r="D3" s="51" t="s">
        <v>102</v>
      </c>
      <c r="E3" s="51" t="s">
        <v>102</v>
      </c>
      <c r="F3" s="51" t="s">
        <v>102</v>
      </c>
      <c r="G3" s="51" t="s">
        <v>102</v>
      </c>
      <c r="H3" s="51" t="s">
        <v>102</v>
      </c>
      <c r="I3" s="51" t="s">
        <v>102</v>
      </c>
      <c r="J3" s="51" t="s">
        <v>102</v>
      </c>
      <c r="K3" s="51" t="s">
        <v>102</v>
      </c>
      <c r="L3" s="51" t="s">
        <v>102</v>
      </c>
      <c r="M3" s="51" t="s">
        <v>102</v>
      </c>
      <c r="N3" s="51" t="s">
        <v>102</v>
      </c>
    </row>
    <row r="5" spans="1:14">
      <c r="B5" s="40">
        <v>1</v>
      </c>
      <c r="C5" s="40">
        <v>2</v>
      </c>
      <c r="D5" s="40">
        <v>3</v>
      </c>
      <c r="E5" s="40">
        <v>4</v>
      </c>
      <c r="F5" s="40">
        <v>5</v>
      </c>
      <c r="G5" s="40">
        <v>6</v>
      </c>
      <c r="H5" s="40">
        <v>7</v>
      </c>
      <c r="I5" s="40">
        <v>8</v>
      </c>
      <c r="J5" s="40">
        <v>9</v>
      </c>
      <c r="K5" s="40">
        <v>10</v>
      </c>
      <c r="L5" s="40">
        <v>11</v>
      </c>
      <c r="M5" s="40">
        <v>12</v>
      </c>
    </row>
    <row r="6" spans="1:14">
      <c r="A6" s="31" t="s">
        <v>89</v>
      </c>
      <c r="B6" s="32" t="s">
        <v>103</v>
      </c>
      <c r="C6" s="32" t="s">
        <v>104</v>
      </c>
      <c r="D6" s="32" t="s">
        <v>105</v>
      </c>
      <c r="E6" s="32" t="s">
        <v>106</v>
      </c>
      <c r="F6" s="32" t="s">
        <v>79</v>
      </c>
      <c r="G6" s="32" t="s">
        <v>107</v>
      </c>
      <c r="H6" s="32" t="s">
        <v>108</v>
      </c>
      <c r="I6" s="32" t="s">
        <v>109</v>
      </c>
      <c r="J6" s="32" t="s">
        <v>110</v>
      </c>
      <c r="K6" s="32" t="s">
        <v>111</v>
      </c>
      <c r="L6" s="32" t="s">
        <v>112</v>
      </c>
      <c r="M6" s="32" t="s">
        <v>113</v>
      </c>
      <c r="N6" s="33" t="s">
        <v>114</v>
      </c>
    </row>
    <row r="7" spans="1:14">
      <c r="A7" s="34">
        <v>2022</v>
      </c>
      <c r="B7" s="35">
        <f>SUMIFS(MonthlyEnergy!$V$2:$V$49,MonthlyEnergy!$C$2:$C$49,$A7,MonthlyEnergy!$D$2:$D$49,B$5)</f>
        <v>46.287078999999999</v>
      </c>
      <c r="C7" s="35">
        <f>SUMIFS(MonthlyEnergy!$V$2:$V$49,MonthlyEnergy!$C$2:$C$49,$A7,MonthlyEnergy!$D$2:$D$49,C$5)</f>
        <v>42.317898999999997</v>
      </c>
      <c r="D7" s="35">
        <f>SUMIFS(MonthlyEnergy!$V$2:$V$49,MonthlyEnergy!$C$2:$C$49,$A7,MonthlyEnergy!$D$2:$D$49,D$5)</f>
        <v>43.9232595</v>
      </c>
      <c r="E7" s="35">
        <f>SUMIFS(MonthlyEnergy!$V$2:$V$49,MonthlyEnergy!$C$2:$C$49,$A7,MonthlyEnergy!$D$2:$D$49,E$5)</f>
        <v>40.131877250000002</v>
      </c>
      <c r="F7" s="35">
        <f>SUMIFS(MonthlyEnergy!$V$2:$V$49,MonthlyEnergy!$C$2:$C$49,$A7,MonthlyEnergy!$D$2:$D$49,F$5)</f>
        <v>39.880332500000002</v>
      </c>
      <c r="G7" s="35">
        <f>SUMIFS(MonthlyEnergy!$V$2:$V$49,MonthlyEnergy!$C$2:$C$49,$A7,MonthlyEnergy!$D$2:$D$49,G$5)</f>
        <v>37.360444999999999</v>
      </c>
      <c r="H7" s="35">
        <f>SUMIFS(MonthlyEnergy!$V$2:$V$49,MonthlyEnergy!$C$2:$C$49,$A7,MonthlyEnergy!$D$2:$D$49,H$5)</f>
        <v>38.359781750000003</v>
      </c>
      <c r="I7" s="35">
        <f>SUMIFS(MonthlyEnergy!$V$2:$V$49,MonthlyEnergy!$C$2:$C$49,$A7,MonthlyEnergy!$D$2:$D$49,I$5)</f>
        <v>37.448427000000002</v>
      </c>
      <c r="J7" s="35">
        <f>SUMIFS(MonthlyEnergy!$V$2:$V$49,MonthlyEnergy!$C$2:$C$49,$A7,MonthlyEnergy!$D$2:$D$49,J$5)</f>
        <v>37.354092250000001</v>
      </c>
      <c r="K7" s="35">
        <f>SUMIFS(MonthlyEnergy!$V$2:$V$49,MonthlyEnergy!$C$2:$C$49,$A7,MonthlyEnergy!$D$2:$D$49,K$5)</f>
        <v>38.545247000000003</v>
      </c>
      <c r="L7" s="35">
        <f>SUMIFS(MonthlyEnergy!$V$2:$V$49,MonthlyEnergy!$C$2:$C$49,$A7,MonthlyEnergy!$D$2:$D$49,L$5)</f>
        <v>39.77461125</v>
      </c>
      <c r="M7" s="35">
        <f>SUMIFS(MonthlyEnergy!$V$2:$V$49,MonthlyEnergy!$C$2:$C$49,$A7,MonthlyEnergy!$D$2:$D$49,M$5)</f>
        <v>40.91289725</v>
      </c>
      <c r="N7" s="36">
        <f>SUM(B7:M7)</f>
        <v>482.29594875000004</v>
      </c>
    </row>
    <row r="8" spans="1:14">
      <c r="A8" s="34">
        <v>2023</v>
      </c>
      <c r="B8" s="35">
        <f>SUMIFS(MonthlyEnergy!$V$2:$V$49,MonthlyEnergy!$C$2:$C$49,$A8,MonthlyEnergy!$D$2:$D$49,B$5)</f>
        <v>42.152953750000002</v>
      </c>
      <c r="C8" s="35">
        <f>SUMIFS(MonthlyEnergy!$V$2:$V$49,MonthlyEnergy!$C$2:$C$49,$A8,MonthlyEnergy!$D$2:$D$49,C$5)</f>
        <v>38.138075499999999</v>
      </c>
      <c r="D8" s="35">
        <f>SUMIFS(MonthlyEnergy!$V$2:$V$49,MonthlyEnergy!$C$2:$C$49,$A8,MonthlyEnergy!$D$2:$D$49,D$5)</f>
        <v>40.877975249999999</v>
      </c>
      <c r="E8" s="35">
        <f>SUMIFS(MonthlyEnergy!$V$2:$V$49,MonthlyEnergy!$C$2:$C$49,$A8,MonthlyEnergy!$D$2:$D$49,E$5)</f>
        <v>36.156149749999997</v>
      </c>
      <c r="F8" s="35">
        <f>SUMIFS(MonthlyEnergy!$V$2:$V$49,MonthlyEnergy!$C$2:$C$49,$A8,MonthlyEnergy!$D$2:$D$49,F$5)</f>
        <v>36.32327325</v>
      </c>
      <c r="G8" s="35">
        <f>SUMIFS(MonthlyEnergy!$V$2:$V$49,MonthlyEnergy!$C$2:$C$49,$A8,MonthlyEnergy!$D$2:$D$49,G$5)</f>
        <v>35.475148750000002</v>
      </c>
      <c r="H8" s="35">
        <f>SUMIFS(MonthlyEnergy!$V$2:$V$49,MonthlyEnergy!$C$2:$C$49,$A8,MonthlyEnergy!$D$2:$D$49,H$5)</f>
        <v>36.253498</v>
      </c>
      <c r="I8" s="35">
        <f>SUMIFS(MonthlyEnergy!$V$2:$V$49,MonthlyEnergy!$C$2:$C$49,$A8,MonthlyEnergy!$D$2:$D$49,I$5)</f>
        <v>36.307265000000001</v>
      </c>
      <c r="J8" s="35">
        <f>SUMIFS(MonthlyEnergy!$V$2:$V$49,MonthlyEnergy!$C$2:$C$49,$A8,MonthlyEnergy!$D$2:$D$49,J$5)</f>
        <v>35.812639249999997</v>
      </c>
      <c r="K8" s="35">
        <f>SUMIFS(MonthlyEnergy!$V$2:$V$49,MonthlyEnergy!$C$2:$C$49,$A8,MonthlyEnergy!$D$2:$D$49,K$5)</f>
        <v>38.79487675</v>
      </c>
      <c r="L8" s="35">
        <f>SUMIFS(MonthlyEnergy!$V$2:$V$49,MonthlyEnergy!$C$2:$C$49,$A8,MonthlyEnergy!$D$2:$D$49,L$5)</f>
        <v>41.090774000000003</v>
      </c>
      <c r="M8" s="35">
        <f>SUMIFS(MonthlyEnergy!$V$2:$V$49,MonthlyEnergy!$C$2:$C$49,$A8,MonthlyEnergy!$D$2:$D$49,M$5)</f>
        <v>40.999102999999998</v>
      </c>
      <c r="N8" s="36">
        <f>SUM(B8:M8)</f>
        <v>458.38173225000003</v>
      </c>
    </row>
    <row r="9" spans="1:14">
      <c r="A9" s="34">
        <v>2024</v>
      </c>
      <c r="B9" s="35">
        <f>SUMIFS(MonthlyEnergy!$V$2:$V$49,MonthlyEnergy!$C$2:$C$49,$A9,MonthlyEnergy!$D$2:$D$49,B$5)</f>
        <v>44.095498249999999</v>
      </c>
      <c r="C9" s="35">
        <f>SUMIFS(MonthlyEnergy!$V$2:$V$49,MonthlyEnergy!$C$2:$C$49,$A9,MonthlyEnergy!$D$2:$D$49,C$5)</f>
        <v>39.956910999999998</v>
      </c>
      <c r="D9" s="35">
        <f>SUMIFS(MonthlyEnergy!$V$2:$V$49,MonthlyEnergy!$C$2:$C$49,$A9,MonthlyEnergy!$D$2:$D$49,D$5)</f>
        <v>40.192601750000001</v>
      </c>
      <c r="E9" s="35">
        <f>SUMIFS(MonthlyEnergy!$V$2:$V$49,MonthlyEnergy!$C$2:$C$49,$A9,MonthlyEnergy!$D$2:$D$49,E$5)</f>
        <v>37.7309555</v>
      </c>
      <c r="F9" s="35">
        <f>SUMIFS(MonthlyEnergy!$V$2:$V$49,MonthlyEnergy!$C$2:$C$49,$A9,MonthlyEnergy!$D$2:$D$49,F$5)</f>
        <v>35.983512750000003</v>
      </c>
      <c r="G9" s="35">
        <f>SUMIFS(MonthlyEnergy!$V$2:$V$49,MonthlyEnergy!$C$2:$C$49,$A9,MonthlyEnergy!$D$2:$D$49,G$5)</f>
        <v>35.704641250000002</v>
      </c>
      <c r="H9" s="35">
        <f>SUMIFS(MonthlyEnergy!$V$2:$V$49,MonthlyEnergy!$C$2:$C$49,$A9,MonthlyEnergy!$D$2:$D$49,H$5)</f>
        <v>36.973712749999997</v>
      </c>
      <c r="I9" s="35">
        <f>SUMIFS(MonthlyEnergy!$V$2:$V$49,MonthlyEnergy!$C$2:$C$49,$A9,MonthlyEnergy!$D$2:$D$49,I$5)</f>
        <v>36.921844</v>
      </c>
      <c r="J9" s="35">
        <f>SUMIFS(MonthlyEnergy!$V$2:$V$49,MonthlyEnergy!$C$2:$C$49,$A9,MonthlyEnergy!$D$2:$D$49,J$5)</f>
        <v>36.646160530000003</v>
      </c>
      <c r="K9" s="35">
        <f>SUMIFS(MonthlyEnergy!$V$2:$V$49,MonthlyEnergy!$C$2:$C$49,$A9,MonthlyEnergy!$D$2:$D$49,K$5)</f>
        <v>38.537384000000003</v>
      </c>
      <c r="L9" s="35">
        <f>SUMIFS(MonthlyEnergy!$V$2:$V$49,MonthlyEnergy!$C$2:$C$49,$A9,MonthlyEnergy!$D$2:$D$49,L$5)</f>
        <v>41.376519999999999</v>
      </c>
      <c r="M9" s="35">
        <f>SUMIFS(MonthlyEnergy!$V$2:$V$49,MonthlyEnergy!$C$2:$C$49,$A9,MonthlyEnergy!$D$2:$D$49,M$5)</f>
        <v>41.383116000000001</v>
      </c>
      <c r="N9" s="36">
        <f>SUM(B9:M9)</f>
        <v>465.50285778</v>
      </c>
    </row>
    <row r="10" spans="1:14">
      <c r="A10" s="34">
        <v>2025</v>
      </c>
      <c r="B10" s="35">
        <f>SUMIFS(MonthlyEnergy!$V$2:$V$49,MonthlyEnergy!$C$2:$C$49,$A10,MonthlyEnergy!$D$2:$D$49,B$5)</f>
        <v>44.170689750000001</v>
      </c>
      <c r="C10" s="35">
        <f>SUMIFS(MonthlyEnergy!$V$2:$V$49,MonthlyEnergy!$C$2:$C$49,$A10,MonthlyEnergy!$D$2:$D$49,C$5)</f>
        <v>40.067317229999993</v>
      </c>
      <c r="D10" s="35">
        <f>SUMIFS(MonthlyEnergy!$V$2:$V$49,MonthlyEnergy!$C$2:$C$49,$A10,MonthlyEnergy!$D$2:$D$49,D$5)</f>
        <v>40.563594770000002</v>
      </c>
      <c r="E10" s="35">
        <f>SUMIFS(MonthlyEnergy!$V$2:$V$49,MonthlyEnergy!$C$2:$C$49,$A10,MonthlyEnergy!$D$2:$D$49,E$5)</f>
        <v>36.341729389999998</v>
      </c>
      <c r="F10" s="35">
        <f>SUMIFS(MonthlyEnergy!$V$2:$V$49,MonthlyEnergy!$C$2:$C$49,$A10,MonthlyEnergy!$D$2:$D$49,F$5)</f>
        <v>36.264727810000004</v>
      </c>
      <c r="G10" s="35">
        <f>SUMIFS(MonthlyEnergy!$V$2:$V$49,MonthlyEnergy!$C$2:$C$49,$A10,MonthlyEnergy!$D$2:$D$49,G$5)</f>
        <v>35.278341429999998</v>
      </c>
      <c r="H10" s="35">
        <f>SUMIFS(MonthlyEnergy!$V$2:$V$49,MonthlyEnergy!$C$2:$C$49,$A10,MonthlyEnergy!$D$2:$D$49,H$5)</f>
        <v>37.035779420000004</v>
      </c>
      <c r="I10" s="35">
        <f>SUMIFS(MonthlyEnergy!$V$2:$V$49,MonthlyEnergy!$C$2:$C$49,$A10,MonthlyEnergy!$D$2:$D$49,I$5)</f>
        <v>35.373436099999999</v>
      </c>
      <c r="J10" s="35">
        <f>SUMIFS(MonthlyEnergy!$V$2:$V$49,MonthlyEnergy!$C$2:$C$49,$A10,MonthlyEnergy!$D$2:$D$49,J$5)</f>
        <v>36.471748950000006</v>
      </c>
      <c r="K10" s="35">
        <f>SUMIFS(MonthlyEnergy!$V$2:$V$49,MonthlyEnergy!$C$2:$C$49,$A10,MonthlyEnergy!$D$2:$D$49,K$5)</f>
        <v>40.475526450000004</v>
      </c>
      <c r="L10" s="35">
        <f>SUMIFS(MonthlyEnergy!$V$2:$V$49,MonthlyEnergy!$C$2:$C$49,$A10,MonthlyEnergy!$D$2:$D$49,L$5)</f>
        <v>41.470312229999998</v>
      </c>
      <c r="M10" s="35">
        <f>SUMIFS(MonthlyEnergy!$V$2:$V$49,MonthlyEnergy!$C$2:$C$49,$A10,MonthlyEnergy!$D$2:$D$49,M$5)</f>
        <v>42.304479649999998</v>
      </c>
      <c r="N10" s="36">
        <f>SUM(B10:M10)</f>
        <v>465.81768318000002</v>
      </c>
    </row>
    <row r="11" spans="1:14">
      <c r="A11" s="37" t="s">
        <v>100</v>
      </c>
      <c r="B11" s="38">
        <f t="shared" ref="B11:N11" si="0">SUM(B7:B10)</f>
        <v>176.70622075</v>
      </c>
      <c r="C11" s="38">
        <f t="shared" si="0"/>
        <v>160.48020272999997</v>
      </c>
      <c r="D11" s="38">
        <f t="shared" si="0"/>
        <v>165.55743127</v>
      </c>
      <c r="E11" s="38">
        <f t="shared" si="0"/>
        <v>150.36071189</v>
      </c>
      <c r="F11" s="38">
        <f t="shared" si="0"/>
        <v>148.45184631000001</v>
      </c>
      <c r="G11" s="38">
        <f t="shared" si="0"/>
        <v>143.81857643000001</v>
      </c>
      <c r="H11" s="38">
        <f t="shared" si="0"/>
        <v>148.62277192000002</v>
      </c>
      <c r="I11" s="38">
        <f t="shared" si="0"/>
        <v>146.0509721</v>
      </c>
      <c r="J11" s="38">
        <f t="shared" si="0"/>
        <v>146.28464098000001</v>
      </c>
      <c r="K11" s="38">
        <f t="shared" si="0"/>
        <v>156.35303420000002</v>
      </c>
      <c r="L11" s="38">
        <f t="shared" si="0"/>
        <v>163.71221747999999</v>
      </c>
      <c r="M11" s="38">
        <f t="shared" si="0"/>
        <v>165.5995959</v>
      </c>
      <c r="N11" s="39">
        <f t="shared" si="0"/>
        <v>1871.9982219600001</v>
      </c>
    </row>
  </sheetData>
  <mergeCells count="2">
    <mergeCell ref="A1:N2"/>
    <mergeCell ref="A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topLeftCell="C1" workbookViewId="0">
      <selection sqref="A1:F2"/>
    </sheetView>
  </sheetViews>
  <sheetFormatPr defaultRowHeight="13.8"/>
  <cols>
    <col min="1" max="1" width="34" customWidth="1"/>
    <col min="2" max="6" width="18" customWidth="1"/>
  </cols>
  <sheetData>
    <row r="1" spans="1:6">
      <c r="A1" s="119" t="s">
        <v>115</v>
      </c>
      <c r="B1" s="119" t="s">
        <v>115</v>
      </c>
      <c r="C1" s="119" t="s">
        <v>115</v>
      </c>
      <c r="D1" s="119" t="s">
        <v>115</v>
      </c>
      <c r="E1" s="119" t="s">
        <v>115</v>
      </c>
      <c r="F1" s="119" t="s">
        <v>115</v>
      </c>
    </row>
    <row r="2" spans="1:6">
      <c r="A2" s="119" t="s">
        <v>115</v>
      </c>
      <c r="B2" s="119" t="s">
        <v>115</v>
      </c>
      <c r="C2" s="119" t="s">
        <v>115</v>
      </c>
      <c r="D2" s="119" t="s">
        <v>115</v>
      </c>
      <c r="E2" s="119" t="s">
        <v>115</v>
      </c>
      <c r="F2" s="119" t="s">
        <v>115</v>
      </c>
    </row>
    <row r="3" spans="1:6">
      <c r="A3" s="51" t="s">
        <v>116</v>
      </c>
      <c r="B3" s="51" t="s">
        <v>116</v>
      </c>
      <c r="C3" s="51" t="s">
        <v>116</v>
      </c>
      <c r="D3" s="51" t="s">
        <v>116</v>
      </c>
      <c r="E3" s="51" t="s">
        <v>116</v>
      </c>
      <c r="F3" s="51" t="s">
        <v>116</v>
      </c>
    </row>
    <row r="5" spans="1:6">
      <c r="A5" s="41" t="s">
        <v>117</v>
      </c>
      <c r="B5" s="41" t="s">
        <v>118</v>
      </c>
      <c r="C5" s="41" t="s">
        <v>119</v>
      </c>
      <c r="D5" s="41" t="s">
        <v>120</v>
      </c>
      <c r="E5" s="41" t="s">
        <v>121</v>
      </c>
      <c r="F5" s="41" t="s">
        <v>122</v>
      </c>
    </row>
    <row r="6" spans="1:6">
      <c r="A6" s="42" t="s">
        <v>123</v>
      </c>
      <c r="B6" s="43">
        <v>35064</v>
      </c>
      <c r="C6" s="43">
        <v>0</v>
      </c>
      <c r="D6" s="43">
        <f>SUM(MonthlyEnergy!$G$2:$G$49)</f>
        <v>35064</v>
      </c>
      <c r="E6" s="43">
        <f t="shared" ref="E6:E14" si="0">D6-B6</f>
        <v>0</v>
      </c>
      <c r="F6" s="42" t="str">
        <f t="shared" ref="F6:F14" si="1">IF(ABS(E6)&lt;=C6,"PASS","CHECK")</f>
        <v>PASS</v>
      </c>
    </row>
    <row r="7" spans="1:6">
      <c r="A7" s="42" t="s">
        <v>124</v>
      </c>
      <c r="B7" s="43">
        <v>1871.9982219599999</v>
      </c>
      <c r="C7" s="43">
        <v>1E-3</v>
      </c>
      <c r="D7" s="43">
        <f>SUM(MonthlyEnergy!$H$2:$H$49)/1000000</f>
        <v>1871.9982219600004</v>
      </c>
      <c r="E7" s="43">
        <f t="shared" si="0"/>
        <v>0</v>
      </c>
      <c r="F7" s="42" t="str">
        <f t="shared" si="1"/>
        <v>PASS</v>
      </c>
    </row>
    <row r="8" spans="1:6">
      <c r="A8" s="42" t="s">
        <v>125</v>
      </c>
      <c r="B8" s="43">
        <v>53.388039640657098</v>
      </c>
      <c r="C8" s="43">
        <v>1E-3</v>
      </c>
      <c r="D8" s="43">
        <f>SUM(MonthlyEnergy!$H$2:$H$49)/SUM(MonthlyEnergy!$G$2:$G$49)/1000</f>
        <v>53.388039640657091</v>
      </c>
      <c r="E8" s="43">
        <f t="shared" si="0"/>
        <v>0</v>
      </c>
      <c r="F8" s="42" t="str">
        <f t="shared" si="1"/>
        <v>PASS</v>
      </c>
    </row>
    <row r="9" spans="1:6">
      <c r="A9" s="42" t="s">
        <v>126</v>
      </c>
      <c r="B9" s="43">
        <v>78.680499999999995</v>
      </c>
      <c r="C9" s="43">
        <v>1E-3</v>
      </c>
      <c r="D9" s="43">
        <f>MAX(MonthlyEnergy!$J$2:$J$49)/1000</f>
        <v>78.680499999999995</v>
      </c>
      <c r="E9" s="43">
        <f t="shared" si="0"/>
        <v>0</v>
      </c>
      <c r="F9" s="42" t="str">
        <f t="shared" si="1"/>
        <v>PASS</v>
      </c>
    </row>
    <row r="10" spans="1:6">
      <c r="A10" s="42" t="s">
        <v>127</v>
      </c>
      <c r="B10" s="44">
        <v>0.54608047909381097</v>
      </c>
      <c r="C10" s="44">
        <v>1E-4</v>
      </c>
      <c r="D10" s="44">
        <f>SUM(MonthlyEnergy!$L$2:$L$49)/SUM(MonthlyEnergy!$K$2:$K$49)</f>
        <v>0.54608047909381097</v>
      </c>
      <c r="E10" s="44">
        <f t="shared" si="0"/>
        <v>0</v>
      </c>
      <c r="F10" s="42" t="str">
        <f t="shared" si="1"/>
        <v>PASS</v>
      </c>
    </row>
    <row r="11" spans="1:6">
      <c r="A11" s="42" t="s">
        <v>128</v>
      </c>
      <c r="B11" s="43">
        <v>124.58290782569</v>
      </c>
      <c r="C11" s="43">
        <v>0.01</v>
      </c>
      <c r="D11" s="43">
        <f>SUM(MonthlyEnergy!$AC$2:$AC$49)/SUM(MonthlyEnergy!$G$2:$G$49)</f>
        <v>124.58290782569017</v>
      </c>
      <c r="E11" s="43">
        <f t="shared" si="0"/>
        <v>1.7053025658242404E-13</v>
      </c>
      <c r="F11" s="42" t="str">
        <f t="shared" si="1"/>
        <v>PASS</v>
      </c>
    </row>
    <row r="12" spans="1:6">
      <c r="A12" s="42" t="s">
        <v>129</v>
      </c>
      <c r="B12" s="43">
        <v>1400</v>
      </c>
      <c r="C12" s="43">
        <v>0</v>
      </c>
      <c r="D12" s="43">
        <f>SUM(MonthlyEnergy!$S$2:$S$49)</f>
        <v>1400</v>
      </c>
      <c r="E12" s="43">
        <f t="shared" si="0"/>
        <v>0</v>
      </c>
      <c r="F12" s="42" t="str">
        <f t="shared" si="1"/>
        <v>PASS</v>
      </c>
    </row>
    <row r="13" spans="1:6">
      <c r="A13" s="42" t="s">
        <v>130</v>
      </c>
      <c r="B13" s="44">
        <v>3.992699064567648E-2</v>
      </c>
      <c r="C13" s="44">
        <v>1E-4</v>
      </c>
      <c r="D13" s="44">
        <f>SUM(MonthlyEnergy!$S$2:$S$49)/SUM(MonthlyEnergy!$G$2:$G$49)</f>
        <v>3.992699064567648E-2</v>
      </c>
      <c r="E13" s="44">
        <f t="shared" si="0"/>
        <v>0</v>
      </c>
      <c r="F13" s="42" t="str">
        <f t="shared" si="1"/>
        <v>PASS</v>
      </c>
    </row>
    <row r="14" spans="1:6">
      <c r="A14" s="42" t="s">
        <v>131</v>
      </c>
      <c r="B14" s="43">
        <v>16836</v>
      </c>
      <c r="C14" s="43">
        <v>0</v>
      </c>
      <c r="D14" s="43">
        <f>SUM(MonthlyEnergy!$T$2:$T$49)</f>
        <v>16836</v>
      </c>
      <c r="E14" s="43">
        <f t="shared" si="0"/>
        <v>0</v>
      </c>
      <c r="F14" s="42" t="str">
        <f t="shared" si="1"/>
        <v>PASS</v>
      </c>
    </row>
  </sheetData>
  <mergeCells count="2">
    <mergeCell ref="A1:F2"/>
    <mergeCell ref="A3:F3"/>
  </mergeCells>
  <conditionalFormatting sqref="F6:F14">
    <cfRule type="containsText" dxfId="2" priority="1" operator="containsText" text="PASS"/>
    <cfRule type="containsText" dxfId="1" priority="2" operator="containsText" text="CHECK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9"/>
  <sheetViews>
    <sheetView showGridLines="0" workbookViewId="0"/>
  </sheetViews>
  <sheetFormatPr defaultRowHeight="13.8"/>
  <cols>
    <col min="1" max="1" width="120" customWidth="1"/>
  </cols>
  <sheetData>
    <row r="1" spans="1:8">
      <c r="A1" s="50" t="s">
        <v>132</v>
      </c>
      <c r="B1" s="50" t="s">
        <v>132</v>
      </c>
      <c r="C1" s="50" t="s">
        <v>132</v>
      </c>
      <c r="D1" s="50" t="s">
        <v>132</v>
      </c>
      <c r="E1" s="50" t="s">
        <v>132</v>
      </c>
      <c r="F1" s="50" t="s">
        <v>132</v>
      </c>
      <c r="G1" s="50" t="s">
        <v>132</v>
      </c>
      <c r="H1" s="50" t="s">
        <v>132</v>
      </c>
    </row>
    <row r="2" spans="1:8">
      <c r="A2" s="50" t="s">
        <v>132</v>
      </c>
      <c r="B2" s="50" t="s">
        <v>132</v>
      </c>
      <c r="C2" s="50" t="s">
        <v>132</v>
      </c>
      <c r="D2" s="50" t="s">
        <v>132</v>
      </c>
      <c r="E2" s="50" t="s">
        <v>132</v>
      </c>
      <c r="F2" s="50" t="s">
        <v>132</v>
      </c>
      <c r="G2" s="50" t="s">
        <v>132</v>
      </c>
      <c r="H2" s="50" t="s">
        <v>132</v>
      </c>
    </row>
    <row r="3" spans="1:8">
      <c r="A3" s="51" t="s">
        <v>133</v>
      </c>
      <c r="B3" s="51" t="s">
        <v>133</v>
      </c>
      <c r="C3" s="51" t="s">
        <v>133</v>
      </c>
      <c r="D3" s="51" t="s">
        <v>133</v>
      </c>
      <c r="E3" s="51" t="s">
        <v>133</v>
      </c>
      <c r="F3" s="51" t="s">
        <v>133</v>
      </c>
      <c r="G3" s="51" t="s">
        <v>133</v>
      </c>
      <c r="H3" s="51" t="s">
        <v>133</v>
      </c>
    </row>
    <row r="4" spans="1:8" ht="14.4">
      <c r="A4" s="1"/>
      <c r="B4" s="1"/>
      <c r="C4" s="1"/>
      <c r="D4" s="1"/>
      <c r="E4" s="1"/>
      <c r="F4" s="1"/>
      <c r="G4" s="1"/>
      <c r="H4" s="1"/>
    </row>
    <row r="5" spans="1:8" ht="14.4">
      <c r="A5" s="120" t="s">
        <v>134</v>
      </c>
      <c r="B5" s="120" t="s">
        <v>134</v>
      </c>
      <c r="C5" s="120" t="s">
        <v>134</v>
      </c>
      <c r="D5" s="120" t="s">
        <v>134</v>
      </c>
      <c r="E5" s="120" t="s">
        <v>134</v>
      </c>
      <c r="F5" s="120" t="s">
        <v>134</v>
      </c>
      <c r="G5" s="120" t="s">
        <v>134</v>
      </c>
      <c r="H5" s="120" t="s">
        <v>134</v>
      </c>
    </row>
    <row r="7" spans="1:8" ht="14.4">
      <c r="A7" s="45" t="s">
        <v>135</v>
      </c>
    </row>
    <row r="8" spans="1:8" ht="14.4">
      <c r="A8" s="45" t="s">
        <v>136</v>
      </c>
    </row>
    <row r="9" spans="1:8" ht="14.4">
      <c r="A9" s="45" t="s">
        <v>137</v>
      </c>
    </row>
    <row r="10" spans="1:8" ht="14.4">
      <c r="A10" s="45" t="s">
        <v>138</v>
      </c>
    </row>
    <row r="11" spans="1:8" ht="14.4">
      <c r="A11" s="45" t="s">
        <v>139</v>
      </c>
    </row>
    <row r="12" spans="1:8" ht="14.4">
      <c r="A12" s="45" t="s">
        <v>140</v>
      </c>
    </row>
    <row r="13" spans="1:8" ht="14.4">
      <c r="A13" s="45" t="s">
        <v>141</v>
      </c>
    </row>
    <row r="14" spans="1:8" ht="14.4">
      <c r="A14" s="45" t="s">
        <v>142</v>
      </c>
    </row>
    <row r="15" spans="1:8" ht="14.4">
      <c r="A15" s="45" t="s">
        <v>143</v>
      </c>
    </row>
    <row r="16" spans="1:8" ht="14.4">
      <c r="A16" s="45" t="s">
        <v>144</v>
      </c>
    </row>
    <row r="17" spans="1:1" ht="14.4">
      <c r="A17" s="45" t="s">
        <v>145</v>
      </c>
    </row>
    <row r="18" spans="1:1" ht="14.4">
      <c r="A18" s="45" t="s">
        <v>146</v>
      </c>
    </row>
    <row r="19" spans="1:1" ht="14.4">
      <c r="A19" s="45" t="s">
        <v>147</v>
      </c>
    </row>
    <row r="20" spans="1:1" ht="14.4">
      <c r="A20" s="45" t="s">
        <v>148</v>
      </c>
    </row>
    <row r="21" spans="1:1" ht="14.4">
      <c r="A21" s="45" t="s">
        <v>149</v>
      </c>
    </row>
    <row r="22" spans="1:1" ht="14.4">
      <c r="A22" s="45" t="s">
        <v>150</v>
      </c>
    </row>
    <row r="23" spans="1:1" ht="14.4">
      <c r="A23" s="45" t="s">
        <v>151</v>
      </c>
    </row>
    <row r="24" spans="1:1" ht="14.4">
      <c r="A24" s="45" t="s">
        <v>152</v>
      </c>
    </row>
    <row r="25" spans="1:1" ht="14.4">
      <c r="A25" s="45" t="s">
        <v>153</v>
      </c>
    </row>
    <row r="26" spans="1:1" ht="14.4">
      <c r="A26" s="45" t="s">
        <v>154</v>
      </c>
    </row>
    <row r="27" spans="1:1" ht="14.4">
      <c r="A27" s="45" t="s">
        <v>155</v>
      </c>
    </row>
    <row r="28" spans="1:1" ht="14.4">
      <c r="A28" s="45" t="s">
        <v>156</v>
      </c>
    </row>
    <row r="29" spans="1:1" ht="14.4">
      <c r="A29" s="45" t="s">
        <v>157</v>
      </c>
    </row>
    <row r="30" spans="1:1" ht="14.4">
      <c r="A30" s="45" t="s">
        <v>158</v>
      </c>
    </row>
    <row r="31" spans="1:1" ht="14.4">
      <c r="A31" s="45" t="s">
        <v>159</v>
      </c>
    </row>
    <row r="32" spans="1:1" ht="14.4">
      <c r="A32" s="45" t="s">
        <v>160</v>
      </c>
    </row>
    <row r="33" spans="1:1" ht="14.4">
      <c r="A33" s="45" t="s">
        <v>161</v>
      </c>
    </row>
    <row r="34" spans="1:1" ht="14.4">
      <c r="A34" s="45" t="s">
        <v>162</v>
      </c>
    </row>
    <row r="35" spans="1:1" ht="14.4">
      <c r="A35" s="45" t="s">
        <v>163</v>
      </c>
    </row>
    <row r="36" spans="1:1" ht="14.4">
      <c r="A36" s="45" t="s">
        <v>164</v>
      </c>
    </row>
    <row r="37" spans="1:1" ht="14.4">
      <c r="A37" s="45" t="s">
        <v>165</v>
      </c>
    </row>
    <row r="38" spans="1:1" ht="14.4">
      <c r="A38" s="45" t="s">
        <v>166</v>
      </c>
    </row>
    <row r="39" spans="1:1" ht="14.4">
      <c r="A39" s="45" t="s">
        <v>167</v>
      </c>
    </row>
    <row r="40" spans="1:1" ht="14.4">
      <c r="A40" s="45" t="s">
        <v>168</v>
      </c>
    </row>
    <row r="41" spans="1:1" ht="14.4">
      <c r="A41" s="45" t="s">
        <v>169</v>
      </c>
    </row>
    <row r="42" spans="1:1" ht="14.4">
      <c r="A42" s="45" t="s">
        <v>170</v>
      </c>
    </row>
    <row r="43" spans="1:1" ht="14.4">
      <c r="A43" s="45" t="s">
        <v>171</v>
      </c>
    </row>
    <row r="44" spans="1:1" ht="14.4">
      <c r="A44" s="45" t="s">
        <v>172</v>
      </c>
    </row>
    <row r="45" spans="1:1" ht="14.4">
      <c r="A45" s="45" t="s">
        <v>173</v>
      </c>
    </row>
    <row r="46" spans="1:1" ht="14.4">
      <c r="A46" s="45" t="s">
        <v>174</v>
      </c>
    </row>
    <row r="47" spans="1:1" ht="14.4">
      <c r="A47" s="45" t="s">
        <v>175</v>
      </c>
    </row>
    <row r="48" spans="1:1" ht="14.4">
      <c r="A48" s="45" t="s">
        <v>176</v>
      </c>
    </row>
    <row r="49" spans="1:1" ht="14.4">
      <c r="A49" s="45" t="s">
        <v>177</v>
      </c>
    </row>
    <row r="50" spans="1:1" ht="14.4">
      <c r="A50" s="45" t="s">
        <v>178</v>
      </c>
    </row>
    <row r="51" spans="1:1" ht="14.4">
      <c r="A51" s="45" t="s">
        <v>179</v>
      </c>
    </row>
    <row r="52" spans="1:1" ht="14.4">
      <c r="A52" s="45" t="s">
        <v>180</v>
      </c>
    </row>
    <row r="53" spans="1:1" ht="14.4">
      <c r="A53" s="45" t="s">
        <v>181</v>
      </c>
    </row>
    <row r="54" spans="1:1" ht="14.4">
      <c r="A54" s="45" t="s">
        <v>182</v>
      </c>
    </row>
    <row r="55" spans="1:1" ht="14.4">
      <c r="A55" s="45" t="s">
        <v>183</v>
      </c>
    </row>
    <row r="56" spans="1:1" ht="14.4">
      <c r="A56" s="45" t="s">
        <v>184</v>
      </c>
    </row>
    <row r="57" spans="1:1" ht="14.4">
      <c r="A57" s="45" t="s">
        <v>185</v>
      </c>
    </row>
    <row r="58" spans="1:1" ht="14.4">
      <c r="A58" s="45" t="s">
        <v>186</v>
      </c>
    </row>
    <row r="59" spans="1:1" ht="14.4">
      <c r="A59" s="45" t="s">
        <v>187</v>
      </c>
    </row>
    <row r="60" spans="1:1" ht="14.4">
      <c r="A60" s="45" t="s">
        <v>188</v>
      </c>
    </row>
    <row r="61" spans="1:1" ht="14.4">
      <c r="A61" s="45" t="s">
        <v>189</v>
      </c>
    </row>
    <row r="62" spans="1:1" ht="14.4">
      <c r="A62" s="45" t="s">
        <v>190</v>
      </c>
    </row>
    <row r="63" spans="1:1" ht="14.4">
      <c r="A63" s="45" t="s">
        <v>191</v>
      </c>
    </row>
    <row r="64" spans="1:1" ht="14.4">
      <c r="A64" s="45" t="s">
        <v>192</v>
      </c>
    </row>
    <row r="65" spans="1:1" ht="14.4">
      <c r="A65" s="45" t="s">
        <v>193</v>
      </c>
    </row>
    <row r="66" spans="1:1" ht="14.4">
      <c r="A66" s="45" t="s">
        <v>194</v>
      </c>
    </row>
    <row r="67" spans="1:1" ht="14.4">
      <c r="A67" s="45" t="s">
        <v>195</v>
      </c>
    </row>
    <row r="68" spans="1:1" ht="14.4">
      <c r="A68" s="45" t="s">
        <v>196</v>
      </c>
    </row>
    <row r="69" spans="1:1" ht="14.4">
      <c r="A69" s="45" t="s">
        <v>197</v>
      </c>
    </row>
    <row r="70" spans="1:1" ht="14.4">
      <c r="A70" s="45" t="s">
        <v>198</v>
      </c>
    </row>
    <row r="71" spans="1:1" ht="14.4">
      <c r="A71" s="45" t="s">
        <v>199</v>
      </c>
    </row>
    <row r="72" spans="1:1" ht="14.4">
      <c r="A72" s="45" t="s">
        <v>200</v>
      </c>
    </row>
    <row r="73" spans="1:1" ht="14.4">
      <c r="A73" s="45" t="s">
        <v>201</v>
      </c>
    </row>
    <row r="74" spans="1:1" ht="14.4">
      <c r="A74" s="45" t="s">
        <v>202</v>
      </c>
    </row>
    <row r="75" spans="1:1" ht="14.4">
      <c r="A75" s="45" t="s">
        <v>203</v>
      </c>
    </row>
    <row r="76" spans="1:1" ht="14.4">
      <c r="A76" s="45" t="s">
        <v>204</v>
      </c>
    </row>
    <row r="77" spans="1:1" ht="14.4">
      <c r="A77" s="45" t="s">
        <v>205</v>
      </c>
    </row>
    <row r="78" spans="1:1" ht="14.4">
      <c r="A78" s="45" t="s">
        <v>206</v>
      </c>
    </row>
    <row r="79" spans="1:1" ht="14.4">
      <c r="A79" s="45" t="s">
        <v>207</v>
      </c>
    </row>
    <row r="80" spans="1:1" ht="14.4">
      <c r="A80" s="45" t="s">
        <v>208</v>
      </c>
    </row>
    <row r="81" spans="1:1" ht="14.4">
      <c r="A81" s="45" t="s">
        <v>209</v>
      </c>
    </row>
    <row r="82" spans="1:1" ht="14.4">
      <c r="A82" s="45" t="s">
        <v>210</v>
      </c>
    </row>
    <row r="83" spans="1:1" ht="14.4">
      <c r="A83" s="45" t="s">
        <v>211</v>
      </c>
    </row>
    <row r="84" spans="1:1" ht="14.4">
      <c r="A84" s="45" t="s">
        <v>212</v>
      </c>
    </row>
    <row r="85" spans="1:1" ht="14.4">
      <c r="A85" s="45" t="s">
        <v>213</v>
      </c>
    </row>
    <row r="86" spans="1:1" ht="14.4">
      <c r="A86" s="45" t="s">
        <v>214</v>
      </c>
    </row>
    <row r="87" spans="1:1" ht="14.4">
      <c r="A87" s="45" t="s">
        <v>215</v>
      </c>
    </row>
    <row r="88" spans="1:1" ht="14.4">
      <c r="A88" s="45" t="s">
        <v>216</v>
      </c>
    </row>
    <row r="89" spans="1:1" ht="14.4">
      <c r="A89" s="45" t="s">
        <v>217</v>
      </c>
    </row>
    <row r="90" spans="1:1" ht="14.4">
      <c r="A90" s="45" t="s">
        <v>218</v>
      </c>
    </row>
    <row r="91" spans="1:1" ht="14.4">
      <c r="A91" s="45" t="s">
        <v>219</v>
      </c>
    </row>
    <row r="92" spans="1:1" ht="14.4">
      <c r="A92" s="45" t="s">
        <v>220</v>
      </c>
    </row>
    <row r="93" spans="1:1" ht="14.4">
      <c r="A93" s="45" t="s">
        <v>221</v>
      </c>
    </row>
    <row r="94" spans="1:1" ht="14.4">
      <c r="A94" s="45" t="s">
        <v>222</v>
      </c>
    </row>
    <row r="95" spans="1:1" ht="14.4">
      <c r="A95" s="45" t="s">
        <v>223</v>
      </c>
    </row>
    <row r="96" spans="1:1" ht="14.4">
      <c r="A96" s="45" t="s">
        <v>224</v>
      </c>
    </row>
    <row r="97" spans="1:1" ht="14.4">
      <c r="A97" s="45" t="s">
        <v>225</v>
      </c>
    </row>
    <row r="98" spans="1:1" ht="14.4">
      <c r="A98" s="45" t="s">
        <v>226</v>
      </c>
    </row>
    <row r="99" spans="1:1" ht="14.4">
      <c r="A99" s="45" t="s">
        <v>227</v>
      </c>
    </row>
  </sheetData>
  <mergeCells count="3">
    <mergeCell ref="A1:H2"/>
    <mergeCell ref="A3:H3"/>
    <mergeCell ref="A5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E979-D8F1-406E-B2B5-48B6B2D71056}">
  <dimension ref="A3:N9"/>
  <sheetViews>
    <sheetView topLeftCell="A4" workbookViewId="0">
      <selection activeCell="J17" sqref="J17"/>
    </sheetView>
  </sheetViews>
  <sheetFormatPr defaultRowHeight="13.8"/>
  <cols>
    <col min="1" max="1" width="20.09765625" bestFit="1" customWidth="1"/>
    <col min="2" max="2" width="16.09765625" bestFit="1" customWidth="1"/>
    <col min="3" max="13" width="6.3984375" bestFit="1" customWidth="1"/>
    <col min="14" max="14" width="11" bestFit="1" customWidth="1"/>
  </cols>
  <sheetData>
    <row r="3" spans="1:14">
      <c r="A3" s="47" t="s">
        <v>279</v>
      </c>
      <c r="B3" s="47" t="s">
        <v>278</v>
      </c>
    </row>
    <row r="4" spans="1:14">
      <c r="A4" s="47" t="s">
        <v>276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277</v>
      </c>
    </row>
    <row r="5" spans="1:14">
      <c r="A5" s="48">
        <v>2022</v>
      </c>
      <c r="B5" s="49">
        <v>46.287078999999999</v>
      </c>
      <c r="C5" s="49">
        <v>42.317898999999997</v>
      </c>
      <c r="D5" s="49">
        <v>43.9232595</v>
      </c>
      <c r="E5" s="49">
        <v>40.131877250000002</v>
      </c>
      <c r="F5" s="49">
        <v>39.880332500000002</v>
      </c>
      <c r="G5" s="49">
        <v>37.360444999999999</v>
      </c>
      <c r="H5" s="49">
        <v>38.359781750000003</v>
      </c>
      <c r="I5" s="49">
        <v>37.448427000000002</v>
      </c>
      <c r="J5" s="49">
        <v>37.354092250000001</v>
      </c>
      <c r="K5" s="49">
        <v>38.545247000000003</v>
      </c>
      <c r="L5" s="49">
        <v>39.77461125</v>
      </c>
      <c r="M5" s="49">
        <v>40.91289725</v>
      </c>
      <c r="N5" s="49">
        <v>482.29594875000004</v>
      </c>
    </row>
    <row r="6" spans="1:14">
      <c r="A6" s="48">
        <v>2023</v>
      </c>
      <c r="B6" s="49">
        <v>42.152953750000002</v>
      </c>
      <c r="C6" s="49">
        <v>38.138075499999999</v>
      </c>
      <c r="D6" s="49">
        <v>40.877975249999999</v>
      </c>
      <c r="E6" s="49">
        <v>36.156149749999997</v>
      </c>
      <c r="F6" s="49">
        <v>36.32327325</v>
      </c>
      <c r="G6" s="49">
        <v>35.475148750000002</v>
      </c>
      <c r="H6" s="49">
        <v>36.253498</v>
      </c>
      <c r="I6" s="49">
        <v>36.307265000000001</v>
      </c>
      <c r="J6" s="49">
        <v>35.812639249999997</v>
      </c>
      <c r="K6" s="49">
        <v>38.79487675</v>
      </c>
      <c r="L6" s="49">
        <v>41.090774000000003</v>
      </c>
      <c r="M6" s="49">
        <v>40.999102999999998</v>
      </c>
      <c r="N6" s="49">
        <v>458.38173225000003</v>
      </c>
    </row>
    <row r="7" spans="1:14">
      <c r="A7" s="48">
        <v>2024</v>
      </c>
      <c r="B7" s="49">
        <v>44.095498249999999</v>
      </c>
      <c r="C7" s="49">
        <v>39.956910999999998</v>
      </c>
      <c r="D7" s="49">
        <v>40.192601750000001</v>
      </c>
      <c r="E7" s="49">
        <v>37.7309555</v>
      </c>
      <c r="F7" s="49">
        <v>35.983512750000003</v>
      </c>
      <c r="G7" s="49">
        <v>35.704641250000002</v>
      </c>
      <c r="H7" s="49">
        <v>36.973712749999997</v>
      </c>
      <c r="I7" s="49">
        <v>36.921844</v>
      </c>
      <c r="J7" s="49">
        <v>36.646160530000003</v>
      </c>
      <c r="K7" s="49">
        <v>38.537384000000003</v>
      </c>
      <c r="L7" s="49">
        <v>41.376519999999999</v>
      </c>
      <c r="M7" s="49">
        <v>41.383116000000001</v>
      </c>
      <c r="N7" s="49">
        <v>465.50285778</v>
      </c>
    </row>
    <row r="8" spans="1:14">
      <c r="A8" s="48">
        <v>2025</v>
      </c>
      <c r="B8" s="49">
        <v>44.170689750000001</v>
      </c>
      <c r="C8" s="49">
        <v>40.067317229999993</v>
      </c>
      <c r="D8" s="49">
        <v>40.563594770000002</v>
      </c>
      <c r="E8" s="49">
        <v>36.341729389999998</v>
      </c>
      <c r="F8" s="49">
        <v>36.264727810000004</v>
      </c>
      <c r="G8" s="49">
        <v>35.278341429999998</v>
      </c>
      <c r="H8" s="49">
        <v>37.035779420000004</v>
      </c>
      <c r="I8" s="49">
        <v>35.373436099999999</v>
      </c>
      <c r="J8" s="49">
        <v>36.471748950000006</v>
      </c>
      <c r="K8" s="49">
        <v>40.475526450000004</v>
      </c>
      <c r="L8" s="49">
        <v>41.470312229999998</v>
      </c>
      <c r="M8" s="49">
        <v>42.304479649999998</v>
      </c>
      <c r="N8" s="49">
        <v>465.81768318000002</v>
      </c>
    </row>
    <row r="9" spans="1:14">
      <c r="A9" s="48" t="s">
        <v>277</v>
      </c>
      <c r="B9" s="49">
        <v>176.70622075</v>
      </c>
      <c r="C9" s="49">
        <v>160.48020272999997</v>
      </c>
      <c r="D9" s="49">
        <v>165.55743127</v>
      </c>
      <c r="E9" s="49">
        <v>150.36071189</v>
      </c>
      <c r="F9" s="49">
        <v>148.45184631000001</v>
      </c>
      <c r="G9" s="49">
        <v>143.81857643000001</v>
      </c>
      <c r="H9" s="49">
        <v>148.62277192000002</v>
      </c>
      <c r="I9" s="49">
        <v>146.0509721</v>
      </c>
      <c r="J9" s="49">
        <v>146.28464098000001</v>
      </c>
      <c r="K9" s="49">
        <v>156.35303420000002</v>
      </c>
      <c r="L9" s="49">
        <v>163.71221747999999</v>
      </c>
      <c r="M9" s="49">
        <v>165.5995959</v>
      </c>
      <c r="N9" s="49">
        <v>1871.9982219600001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D7EE0-50B6-4EDC-8CC7-9AB6D5B12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MonthlyEnergy</vt:lpstr>
      <vt:lpstr>Setup</vt:lpstr>
      <vt:lpstr>Monthly Data</vt:lpstr>
      <vt:lpstr>Annual Summary</vt:lpstr>
      <vt:lpstr>Pivot Analysis</vt:lpstr>
      <vt:lpstr>Reconciliation</vt:lpstr>
      <vt:lpstr>Power Query</vt:lpstr>
      <vt:lpstr>Native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Borji, Mohammad Pouya</cp:lastModifiedBy>
  <dcterms:modified xsi:type="dcterms:W3CDTF">2026-09-09T12:57:49Z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2026-09-07T22:00:45Z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81113636-8669-4ced-8624-7b8e80ea00e9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